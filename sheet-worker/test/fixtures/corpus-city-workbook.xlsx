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oakland\CEDA\HCD\HDS\PROGRAMS\California Housing &amp; Community Development (CA HCD)\Homekey Program\Solicitation\2021 Homekey RFP\Exhibits\"/>
    </mc:Choice>
  </mc:AlternateContent>
  <xr:revisionPtr revIDLastSave="0" documentId="13_ncr:1_{46E226E4-70F1-43D5-9EF7-86F0DB8F2084}" xr6:coauthVersionLast="46" xr6:coauthVersionMax="46" xr10:uidLastSave="{00000000-0000-0000-0000-000000000000}"/>
  <bookViews>
    <workbookView xWindow="-98" yWindow="-98" windowWidth="20715" windowHeight="13276" activeTab="1" xr2:uid="{8CE3D12E-C3AC-4DDE-B16B-2472A04E7B79}"/>
  </bookViews>
  <sheets>
    <sheet name="Capitalized Operating Reserve" sheetId="1" r:id="rId1"/>
    <sheet name="Systems Outcomes" sheetId="3" r:id="rId2"/>
    <sheet name="Timeline" sheetId="2"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B9" i="1"/>
  <c r="C15" i="1" s="1"/>
  <c r="E15" i="1" s="1"/>
  <c r="C14" i="2"/>
  <c r="C13" i="2"/>
  <c r="C12" i="2"/>
  <c r="C30" i="3"/>
  <c r="H30" i="3"/>
  <c r="C31" i="3"/>
  <c r="E31" i="3"/>
  <c r="H31" i="3"/>
  <c r="K31" i="3"/>
  <c r="N31" i="3"/>
  <c r="Q31" i="3"/>
  <c r="C32" i="3"/>
  <c r="E32" i="3"/>
  <c r="H32" i="3"/>
  <c r="K32" i="3"/>
  <c r="N32" i="3"/>
  <c r="Q32" i="3"/>
  <c r="C33" i="3"/>
  <c r="E33" i="3"/>
  <c r="H33" i="3"/>
  <c r="K33" i="3"/>
  <c r="N33" i="3"/>
  <c r="Q33" i="3"/>
  <c r="C34" i="3"/>
  <c r="E34" i="3"/>
  <c r="H34" i="3"/>
  <c r="K34" i="3"/>
  <c r="N34" i="3"/>
  <c r="Q34" i="3"/>
  <c r="C35" i="3"/>
  <c r="E35" i="3"/>
  <c r="H35" i="3"/>
  <c r="K35" i="3"/>
  <c r="N35" i="3"/>
  <c r="Q35" i="3"/>
  <c r="C36" i="3"/>
  <c r="E36" i="3"/>
  <c r="H36" i="3"/>
  <c r="K36" i="3"/>
  <c r="N36" i="3"/>
  <c r="Q36" i="3"/>
  <c r="C37" i="3"/>
  <c r="E37" i="3"/>
  <c r="H37" i="3"/>
  <c r="K37" i="3"/>
  <c r="N37" i="3"/>
  <c r="Q37" i="3"/>
  <c r="C38" i="3"/>
  <c r="E38" i="3"/>
  <c r="H38" i="3"/>
  <c r="K38" i="3"/>
  <c r="N38" i="3"/>
  <c r="Q38" i="3"/>
  <c r="N21" i="3"/>
  <c r="K21" i="3"/>
  <c r="H21" i="3"/>
  <c r="I21" i="3" s="1"/>
  <c r="E21" i="3"/>
  <c r="C21" i="3"/>
  <c r="N20" i="3"/>
  <c r="K20" i="3"/>
  <c r="H20" i="3"/>
  <c r="I20" i="3" s="1"/>
  <c r="E20" i="3"/>
  <c r="C20" i="3"/>
  <c r="N19" i="3"/>
  <c r="K19" i="3"/>
  <c r="H19" i="3"/>
  <c r="I19" i="3" s="1"/>
  <c r="E19" i="3"/>
  <c r="C19" i="3"/>
  <c r="N18" i="3"/>
  <c r="K18" i="3"/>
  <c r="H18" i="3"/>
  <c r="I18" i="3" s="1"/>
  <c r="E18" i="3"/>
  <c r="C18" i="3"/>
  <c r="N17" i="3"/>
  <c r="K17" i="3"/>
  <c r="H17" i="3"/>
  <c r="I17" i="3" s="1"/>
  <c r="E17" i="3"/>
  <c r="C17" i="3"/>
  <c r="N16" i="3"/>
  <c r="K16" i="3"/>
  <c r="H16" i="3"/>
  <c r="I16" i="3" s="1"/>
  <c r="E16" i="3"/>
  <c r="C16" i="3"/>
  <c r="N15" i="3"/>
  <c r="K15" i="3"/>
  <c r="H15" i="3"/>
  <c r="I15" i="3" s="1"/>
  <c r="E15" i="3"/>
  <c r="C15" i="3"/>
  <c r="N14" i="3"/>
  <c r="K14" i="3"/>
  <c r="H14" i="3"/>
  <c r="I14" i="3" s="1"/>
  <c r="E14" i="3"/>
  <c r="C14" i="3"/>
  <c r="C13" i="3"/>
  <c r="D15" i="1" l="1"/>
  <c r="F32" i="3"/>
  <c r="R34" i="3"/>
  <c r="R31" i="3"/>
  <c r="L35" i="3"/>
  <c r="R33" i="3"/>
  <c r="I36" i="3"/>
  <c r="I37" i="3"/>
  <c r="I35" i="3"/>
  <c r="I33" i="3"/>
  <c r="I31" i="3"/>
  <c r="I38" i="3"/>
  <c r="F35" i="3"/>
  <c r="L18" i="3"/>
  <c r="L38" i="3"/>
  <c r="I34" i="3"/>
  <c r="I32" i="3"/>
  <c r="R35" i="3"/>
  <c r="O33" i="3"/>
  <c r="L31" i="3"/>
  <c r="L37" i="3"/>
  <c r="F36" i="3"/>
  <c r="O34" i="3"/>
  <c r="L34" i="3"/>
  <c r="L32" i="3"/>
  <c r="O38" i="3"/>
  <c r="F33" i="3"/>
  <c r="R37" i="3"/>
  <c r="O31" i="3"/>
  <c r="O37" i="3"/>
  <c r="R32" i="3"/>
  <c r="R38" i="3"/>
  <c r="O35" i="3"/>
  <c r="F34" i="3"/>
  <c r="O32" i="3"/>
  <c r="F37" i="3"/>
  <c r="F31" i="3"/>
  <c r="R36" i="3"/>
  <c r="L36" i="3"/>
  <c r="L33" i="3"/>
  <c r="F38" i="3"/>
  <c r="O36" i="3"/>
  <c r="F15" i="3"/>
  <c r="L14" i="3"/>
  <c r="O17" i="3"/>
  <c r="L15" i="3"/>
  <c r="L16" i="3"/>
  <c r="O21" i="3"/>
  <c r="F19" i="3"/>
  <c r="L17" i="3"/>
  <c r="L19" i="3"/>
  <c r="O19" i="3"/>
  <c r="O15" i="3"/>
  <c r="F21" i="3"/>
  <c r="F18" i="3"/>
  <c r="F20" i="3"/>
  <c r="F14" i="3"/>
  <c r="F16" i="3"/>
  <c r="L20" i="3"/>
  <c r="O18" i="3"/>
  <c r="O20" i="3"/>
  <c r="O14" i="3"/>
  <c r="O16" i="3"/>
  <c r="F17" i="3"/>
  <c r="L21" i="3"/>
  <c r="C14" i="1" l="1"/>
  <c r="D21" i="1"/>
  <c r="E21" i="1" s="1"/>
  <c r="F21" i="1" s="1"/>
  <c r="G21" i="1" s="1"/>
  <c r="H21" i="1" s="1"/>
  <c r="I21" i="1" s="1"/>
  <c r="J21" i="1" s="1"/>
  <c r="K21" i="1" s="1"/>
  <c r="L21" i="1" s="1"/>
  <c r="M21" i="1" s="1"/>
  <c r="N21" i="1" s="1"/>
  <c r="O21" i="1" s="1"/>
  <c r="P21" i="1" s="1"/>
  <c r="Q21" i="1" s="1"/>
  <c r="D20" i="1"/>
  <c r="E20" i="1" s="1"/>
  <c r="D22" i="1" l="1"/>
  <c r="F20" i="1"/>
  <c r="E22" i="1"/>
  <c r="G20" i="1" l="1"/>
  <c r="F22" i="1"/>
  <c r="H20" i="1" l="1"/>
  <c r="G22" i="1"/>
  <c r="I20" i="1" l="1"/>
  <c r="H22" i="1"/>
  <c r="J20" i="1" l="1"/>
  <c r="I22" i="1"/>
  <c r="K20" i="1" l="1"/>
  <c r="J22" i="1"/>
  <c r="L20" i="1" l="1"/>
  <c r="K22" i="1"/>
  <c r="M20" i="1" l="1"/>
  <c r="L22" i="1"/>
  <c r="N20" i="1" l="1"/>
  <c r="M22" i="1"/>
  <c r="O20" i="1" l="1"/>
  <c r="N22" i="1"/>
  <c r="P20" i="1" l="1"/>
  <c r="O22" i="1"/>
  <c r="Q20" i="1" l="1"/>
  <c r="Q22" i="1" s="1"/>
  <c r="P22" i="1"/>
  <c r="C17" i="1" l="1"/>
  <c r="D16" i="1"/>
  <c r="E16" i="1" s="1"/>
  <c r="F16" i="1" s="1"/>
  <c r="G16" i="1" s="1"/>
  <c r="H16" i="1" s="1"/>
  <c r="I16" i="1" s="1"/>
  <c r="J16" i="1" s="1"/>
  <c r="K16" i="1" s="1"/>
  <c r="L16" i="1" s="1"/>
  <c r="M16" i="1" s="1"/>
  <c r="N16" i="1" s="1"/>
  <c r="O16" i="1" s="1"/>
  <c r="P16" i="1" s="1"/>
  <c r="Q16" i="1" s="1"/>
  <c r="D13" i="1"/>
  <c r="D14" i="1" s="1"/>
  <c r="D11" i="1"/>
  <c r="E11" i="1" s="1"/>
  <c r="F11" i="1" s="1"/>
  <c r="G11" i="1" s="1"/>
  <c r="H11" i="1" s="1"/>
  <c r="I11" i="1" s="1"/>
  <c r="J11" i="1" s="1"/>
  <c r="K11" i="1" s="1"/>
  <c r="L11" i="1" s="1"/>
  <c r="M11" i="1" s="1"/>
  <c r="N11" i="1" s="1"/>
  <c r="O11" i="1" s="1"/>
  <c r="P11" i="1" s="1"/>
  <c r="Q11" i="1" s="1"/>
  <c r="C24" i="1" l="1"/>
  <c r="D17" i="1"/>
  <c r="D24" i="1" s="1"/>
  <c r="E13" i="1"/>
  <c r="F13" i="1" l="1"/>
  <c r="E14" i="1"/>
  <c r="E17" i="1" s="1"/>
  <c r="E24" i="1" s="1"/>
  <c r="G13" i="1" l="1"/>
  <c r="F14" i="1"/>
  <c r="F17" i="1" s="1"/>
  <c r="F24" i="1" s="1"/>
  <c r="H13" i="1" l="1"/>
  <c r="G14" i="1"/>
  <c r="G17" i="1" s="1"/>
  <c r="G24" i="1" s="1"/>
  <c r="I13" i="1" l="1"/>
  <c r="H14" i="1"/>
  <c r="H17" i="1" s="1"/>
  <c r="H24" i="1" s="1"/>
  <c r="J13" i="1" l="1"/>
  <c r="I14" i="1"/>
  <c r="I17" i="1" s="1"/>
  <c r="I24" i="1" s="1"/>
  <c r="K13" i="1" l="1"/>
  <c r="J14" i="1"/>
  <c r="J17" i="1" s="1"/>
  <c r="J24" i="1" s="1"/>
  <c r="L13" i="1" l="1"/>
  <c r="K14" i="1"/>
  <c r="K17" i="1" s="1"/>
  <c r="K24" i="1" s="1"/>
  <c r="M13" i="1" l="1"/>
  <c r="L14" i="1"/>
  <c r="L17" i="1" s="1"/>
  <c r="L24" i="1" s="1"/>
  <c r="N13" i="1" l="1"/>
  <c r="M14" i="1"/>
  <c r="M17" i="1" s="1"/>
  <c r="M24" i="1" s="1"/>
  <c r="O13" i="1" l="1"/>
  <c r="N14" i="1"/>
  <c r="N17" i="1" s="1"/>
  <c r="N24" i="1" s="1"/>
  <c r="P13" i="1" l="1"/>
  <c r="O14" i="1"/>
  <c r="O17" i="1" s="1"/>
  <c r="O24" i="1" s="1"/>
  <c r="Q13" i="1" l="1"/>
  <c r="P14" i="1"/>
  <c r="P17" i="1" s="1"/>
  <c r="P24" i="1" s="1"/>
  <c r="Q14" i="1" l="1"/>
  <c r="Q17" i="1" s="1"/>
  <c r="Q24" i="1" s="1"/>
  <c r="C28" i="1" s="1"/>
</calcChain>
</file>

<file path=xl/sharedStrings.xml><?xml version="1.0" encoding="utf-8"?>
<sst xmlns="http://schemas.openxmlformats.org/spreadsheetml/2006/main" count="108" uniqueCount="66">
  <si>
    <t>EXHIBIT C: City of Oakland Workbook</t>
  </si>
  <si>
    <t>Capitalized Operating Subsidy Reserve Worksheet</t>
  </si>
  <si>
    <t>Year</t>
  </si>
  <si>
    <t>Rent</t>
  </si>
  <si>
    <t>Vacancy</t>
  </si>
  <si>
    <t>Other</t>
  </si>
  <si>
    <t>Cash Flow</t>
  </si>
  <si>
    <t>Services</t>
  </si>
  <si>
    <t>All Other Operating Expenses</t>
  </si>
  <si>
    <t>Net Operating Income</t>
  </si>
  <si>
    <t xml:space="preserve">Operating Expenses (please match to Homekey Workbook's "Operating" tab) </t>
  </si>
  <si>
    <t>Project Income (please match to Net Rents in Homekey Workbook's "Award, Match, and Revenue" tab)</t>
  </si>
  <si>
    <t>Total</t>
  </si>
  <si>
    <t>Total Project Income</t>
  </si>
  <si>
    <t>Capitalized Operating Subsidy Needed</t>
  </si>
  <si>
    <t>Name of Prior Project:</t>
  </si>
  <si>
    <t>Using data from your HMIS, please insert outcomes here (using the period from 8/2020 - 8/2021):</t>
  </si>
  <si>
    <t>People Housed Within Interim Project</t>
  </si>
  <si>
    <t>Number of People Exited With a Plan</t>
  </si>
  <si>
    <t>Average Length of Stay</t>
  </si>
  <si>
    <t>Involuntary Returns to Homelessness</t>
  </si>
  <si>
    <t>Voluntary Program Withdrawal</t>
  </si>
  <si>
    <t>Number of Referrals to Outside Services</t>
  </si>
  <si>
    <t>#</t>
  </si>
  <si>
    <t>%</t>
  </si>
  <si>
    <t>Disparity</t>
  </si>
  <si>
    <t>White, Non-Hispanic/Non-Latino </t>
  </si>
  <si>
    <t>White, Hispanic/Latino </t>
  </si>
  <si>
    <t>Black or African American </t>
  </si>
  <si>
    <t>Asian </t>
  </si>
  <si>
    <t>American Indian or Alaska Native </t>
  </si>
  <si>
    <t>Native Hawaiian/Other Pacific Islander </t>
  </si>
  <si>
    <t>Multiple Races </t>
  </si>
  <si>
    <t>Unknown </t>
  </si>
  <si>
    <t>Name of Prior Project :</t>
  </si>
  <si>
    <t>Number of Tenants</t>
  </si>
  <si>
    <t>Number of Service Plans Created</t>
  </si>
  <si>
    <t>Average Duration of Tenancy</t>
  </si>
  <si>
    <t>Number of Evictions</t>
  </si>
  <si>
    <t>Systems Outcomes Worksheet</t>
  </si>
  <si>
    <t xml:space="preserve">This is the Homekey worksheet for service providers to complete with past project experience. Please fill out the tables below for your project type: Permanent Housing or Interim Housing. </t>
  </si>
  <si>
    <t>If your team does not have project experience to fill out the forms below, you may provide an explanation in the green box below:</t>
  </si>
  <si>
    <r>
      <t xml:space="preserve">PERMANENT PROJECTS: </t>
    </r>
    <r>
      <rPr>
        <sz val="10"/>
        <color theme="0"/>
        <rFont val="Arial"/>
        <family val="2"/>
      </rPr>
      <t>For permanent housing project proposals, please provide prior systems outcomes from a past permanent housing project by filling in yellow and orange cells below.</t>
    </r>
  </si>
  <si>
    <r>
      <t xml:space="preserve">INTERIM PROJECTS: </t>
    </r>
    <r>
      <rPr>
        <sz val="10"/>
        <color theme="0"/>
        <rFont val="Arial"/>
        <family val="2"/>
      </rPr>
      <t>For interim housing project proposals, please provide prior systems outcomes from a past interim housing project by filling in yellow and orange cells below.</t>
    </r>
  </si>
  <si>
    <t>Homekey Award</t>
  </si>
  <si>
    <t>Date</t>
  </si>
  <si>
    <t>Event</t>
  </si>
  <si>
    <t>Project Timeline</t>
  </si>
  <si>
    <t>Acquisition of property</t>
  </si>
  <si>
    <t>NEPA report completed by Team's consultant</t>
  </si>
  <si>
    <t>Start of construction/rehabilitation</t>
  </si>
  <si>
    <t>Completion of construction/rehabilitation</t>
  </si>
  <si>
    <t>Construction/rehabilitation permit application submitted to City</t>
  </si>
  <si>
    <t>Planning application submitted to City</t>
  </si>
  <si>
    <t>Assuming Homekey award in February 2022, please enter estimated dates for each listed event. Enter "N/A" if the event is not applicable. Please feel free to add notes or additional relevant events and dates. Please note that the State Homekey NOFA requires all capital funds to be expended within 8 months of award, all construction to be complete within 12 months of award, and lease up to be complete within 90 days of construction completion.</t>
  </si>
  <si>
    <t>Project fully occupied (10% vacancy allowance)</t>
  </si>
  <si>
    <t>Assumed Homekey Bonus for Applying by 1/31/22</t>
  </si>
  <si>
    <t>Project Address</t>
  </si>
  <si>
    <t>RFQ Team Application Number</t>
  </si>
  <si>
    <t># Units Set-Aside for Homeless Youth or Chronic Homeless Units</t>
  </si>
  <si>
    <t># All Other Homeless Units</t>
  </si>
  <si>
    <t>Total Homekey Homeless Units</t>
  </si>
  <si>
    <t>Homekey capital funds fully expended</t>
  </si>
  <si>
    <t>Notes and Deadlines</t>
  </si>
  <si>
    <t>Homekey Operating Subsidy</t>
  </si>
  <si>
    <r>
      <t xml:space="preserve">Instructions: If you </t>
    </r>
    <r>
      <rPr>
        <u/>
        <sz val="10"/>
        <color theme="1"/>
        <rFont val="Arial"/>
        <family val="2"/>
      </rPr>
      <t>are not</t>
    </r>
    <r>
      <rPr>
        <sz val="10"/>
        <color theme="1"/>
        <rFont val="Arial"/>
        <family val="2"/>
      </rPr>
      <t xml:space="preserve"> seeking operating subsidy from the City for your project, please do not fill out this worksheet.
If you </t>
    </r>
    <r>
      <rPr>
        <u/>
        <sz val="10"/>
        <color theme="1"/>
        <rFont val="Arial"/>
        <family val="2"/>
      </rPr>
      <t>are</t>
    </r>
    <r>
      <rPr>
        <sz val="10"/>
        <color theme="1"/>
        <rFont val="Arial"/>
        <family val="2"/>
      </rPr>
      <t xml:space="preserve"> seeking operating subsidy from the City for your project, please fill in the yellow cells below to calculate your project's capitalized operating reserve request through Year 15. The worksheet model assumes three years of Homekey operating subsidy per Homekey guidelines, plus the $10,000 per unit bonus for applying by 1/31/22. Per Homekey rules, debt service is not an eligible expense for operating subsidy; please do not include debt service or deferred developer fee as part of the calculation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</si>
</sst>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m/d/yy;@"/>
  </numFmts>
  <fonts count="14" x14ac:knownFonts="1">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i/>
      <sz val="10"/>
      <color theme="1"/>
      <name val="Arial"/>
      <family val="2"/>
    </font>
    <font>
      <u/>
      <sz val="10"/>
      <color theme="1"/>
      <name val="Arial"/>
      <family val="2"/>
    </font>
    <font>
      <u val="singleAccounting"/>
      <sz val="10"/>
      <color theme="1"/>
      <name val="Arial"/>
      <family val="2"/>
    </font>
    <font>
      <sz val="11"/>
      <color theme="1"/>
      <name val="Calibri"/>
      <family val="2"/>
      <scheme val="minor"/>
    </font>
    <font>
      <b/>
      <sz val="11"/>
      <color theme="1"/>
      <name val="Arial"/>
      <family val="2"/>
    </font>
    <font>
      <sz val="10"/>
      <name val="Times New Roman"/>
      <family val="1"/>
    </font>
    <font>
      <sz val="11"/>
      <name val="Arial"/>
      <family val="2"/>
    </font>
    <font>
      <i/>
      <sz val="11"/>
      <name val="Arial"/>
      <family val="2"/>
    </font>
    <font>
      <sz val="11"/>
      <color theme="1"/>
      <name val="Arial"/>
      <family val="2"/>
    </font>
  </fonts>
  <fills count="6">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1" tint="0.14999847407452621"/>
        <bgColor indexed="64"/>
      </patternFill>
    </fill>
    <fill>
      <patternFill patternType="solid">
        <fgColor theme="9" tint="0.59999389629810485"/>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44" fontId="1" fillId="0" borderId="0" applyFont="0" applyFill="0" applyBorder="0" applyAlignment="0" applyProtection="0"/>
    <xf numFmtId="0" fontId="8" fillId="0" borderId="0"/>
    <xf numFmtId="0" fontId="10" fillId="0" borderId="0"/>
    <xf numFmtId="9" fontId="8" fillId="0" borderId="0" applyFont="0" applyFill="0" applyBorder="0" applyAlignment="0" applyProtection="0"/>
  </cellStyleXfs>
  <cellXfs count="85">
    <xf numFmtId="0" fontId="0" fillId="0" borderId="0" xfId="0"/>
    <xf numFmtId="0" fontId="0" fillId="0" borderId="0" xfId="0" applyFont="1"/>
    <xf numFmtId="0" fontId="3" fillId="0" borderId="0" xfId="0" applyFont="1"/>
    <xf numFmtId="10" fontId="0" fillId="0" borderId="0" xfId="0" applyNumberFormat="1" applyFont="1"/>
    <xf numFmtId="0" fontId="5" fillId="0" borderId="0" xfId="0" applyFont="1"/>
    <xf numFmtId="0" fontId="6" fillId="0" borderId="0" xfId="0" applyFont="1"/>
    <xf numFmtId="0" fontId="0" fillId="0" borderId="0" xfId="0" applyFont="1" applyFill="1"/>
    <xf numFmtId="164" fontId="0" fillId="0" borderId="0" xfId="1" applyNumberFormat="1" applyFont="1"/>
    <xf numFmtId="164" fontId="6" fillId="0" borderId="0" xfId="1" applyNumberFormat="1" applyFont="1"/>
    <xf numFmtId="164" fontId="0" fillId="0" borderId="0" xfId="1" applyNumberFormat="1" applyFont="1" applyFill="1"/>
    <xf numFmtId="164" fontId="3" fillId="0" borderId="0" xfId="1" applyNumberFormat="1" applyFont="1"/>
    <xf numFmtId="0" fontId="3" fillId="0" borderId="1" xfId="0" applyFont="1" applyBorder="1"/>
    <xf numFmtId="0" fontId="0" fillId="0" borderId="2" xfId="0" applyFont="1" applyBorder="1"/>
    <xf numFmtId="0" fontId="9" fillId="0" borderId="4" xfId="2" applyFont="1" applyBorder="1" applyAlignment="1">
      <alignment horizontal="right"/>
    </xf>
    <xf numFmtId="2" fontId="12" fillId="0" borderId="6" xfId="3" applyNumberFormat="1" applyFont="1" applyBorder="1" applyAlignment="1">
      <alignment horizontal="right" vertical="center"/>
    </xf>
    <xf numFmtId="165" fontId="12" fillId="0" borderId="7" xfId="3" applyNumberFormat="1" applyFont="1" applyBorder="1" applyAlignment="1" applyProtection="1">
      <alignment vertical="center"/>
      <protection locked="0"/>
    </xf>
    <xf numFmtId="0" fontId="13" fillId="0" borderId="9" xfId="2" applyFont="1" applyBorder="1" applyAlignment="1">
      <alignment horizontal="center" textRotation="90" wrapText="1"/>
    </xf>
    <xf numFmtId="0" fontId="13" fillId="0" borderId="9" xfId="2" applyFont="1" applyBorder="1" applyAlignment="1">
      <alignment wrapText="1"/>
    </xf>
    <xf numFmtId="0" fontId="13" fillId="0" borderId="9" xfId="2" applyFont="1" applyBorder="1" applyAlignment="1">
      <alignment horizontal="center"/>
    </xf>
    <xf numFmtId="9" fontId="13" fillId="0" borderId="9" xfId="4" applyFont="1" applyFill="1" applyBorder="1" applyAlignment="1" applyProtection="1">
      <alignment horizontal="center"/>
    </xf>
    <xf numFmtId="9" fontId="13" fillId="0" borderId="10" xfId="4" applyFont="1" applyFill="1" applyBorder="1" applyAlignment="1" applyProtection="1">
      <alignment horizontal="center"/>
    </xf>
    <xf numFmtId="0" fontId="13" fillId="0" borderId="8" xfId="2" applyFont="1" applyBorder="1"/>
    <xf numFmtId="2" fontId="11" fillId="3" borderId="9" xfId="3" applyNumberFormat="1" applyFont="1" applyFill="1" applyBorder="1" applyAlignment="1" applyProtection="1">
      <alignment horizontal="center" vertical="center"/>
      <protection locked="0"/>
    </xf>
    <xf numFmtId="9" fontId="13" fillId="0" borderId="9" xfId="2" applyNumberFormat="1" applyFont="1" applyBorder="1" applyAlignment="1">
      <alignment horizontal="center"/>
    </xf>
    <xf numFmtId="9" fontId="13" fillId="0" borderId="9" xfId="4" applyFont="1" applyBorder="1" applyAlignment="1" applyProtection="1">
      <alignment horizontal="center"/>
    </xf>
    <xf numFmtId="0" fontId="13" fillId="0" borderId="11" xfId="2" applyFont="1" applyBorder="1"/>
    <xf numFmtId="2" fontId="11" fillId="3" borderId="12" xfId="3" applyNumberFormat="1" applyFont="1" applyFill="1" applyBorder="1" applyAlignment="1" applyProtection="1">
      <alignment horizontal="center" vertical="center"/>
      <protection locked="0"/>
    </xf>
    <xf numFmtId="9" fontId="13" fillId="0" borderId="12" xfId="4" applyFont="1" applyFill="1" applyBorder="1" applyAlignment="1" applyProtection="1">
      <alignment horizontal="center"/>
    </xf>
    <xf numFmtId="9" fontId="13" fillId="0" borderId="12" xfId="2" applyNumberFormat="1" applyFont="1" applyBorder="1" applyAlignment="1">
      <alignment horizontal="center"/>
    </xf>
    <xf numFmtId="9" fontId="13" fillId="0" borderId="12" xfId="4" applyFont="1" applyBorder="1" applyAlignment="1" applyProtection="1">
      <alignment horizontal="center"/>
    </xf>
    <xf numFmtId="9" fontId="13" fillId="0" borderId="13" xfId="4" applyFont="1" applyFill="1" applyBorder="1" applyAlignment="1" applyProtection="1">
      <alignment horizontal="center"/>
    </xf>
    <xf numFmtId="2" fontId="12" fillId="0" borderId="5" xfId="3" applyNumberFormat="1" applyFont="1" applyBorder="1" applyAlignment="1" applyProtection="1">
      <alignment horizontal="right" vertical="center"/>
      <protection locked="0"/>
    </xf>
    <xf numFmtId="165" fontId="12" fillId="0" borderId="14" xfId="3" applyNumberFormat="1" applyFont="1" applyBorder="1" applyAlignment="1" applyProtection="1">
      <alignment vertical="center"/>
      <protection locked="0"/>
    </xf>
    <xf numFmtId="0" fontId="0" fillId="0" borderId="0" xfId="0" applyFill="1" applyBorder="1"/>
    <xf numFmtId="2" fontId="12" fillId="0" borderId="0" xfId="3" applyNumberFormat="1" applyFont="1" applyFill="1" applyBorder="1" applyAlignment="1">
      <alignment horizontal="right" vertical="center"/>
    </xf>
    <xf numFmtId="165" fontId="12" fillId="0" borderId="0" xfId="3" applyNumberFormat="1" applyFont="1" applyFill="1" applyBorder="1" applyAlignment="1" applyProtection="1">
      <alignment vertical="center"/>
      <protection locked="0"/>
    </xf>
    <xf numFmtId="0" fontId="13" fillId="0" borderId="0" xfId="2" applyFont="1" applyFill="1" applyBorder="1" applyAlignment="1">
      <alignment horizontal="center" textRotation="90" wrapText="1"/>
    </xf>
    <xf numFmtId="0" fontId="13" fillId="0" borderId="0" xfId="2" applyFont="1" applyFill="1" applyBorder="1" applyAlignment="1">
      <alignment horizontal="center"/>
    </xf>
    <xf numFmtId="9" fontId="13" fillId="0" borderId="0" xfId="4" applyFont="1" applyFill="1" applyBorder="1" applyAlignment="1" applyProtection="1">
      <alignment horizontal="center"/>
    </xf>
    <xf numFmtId="0" fontId="13" fillId="0" borderId="0" xfId="2" applyFont="1" applyFill="1" applyBorder="1"/>
    <xf numFmtId="2" fontId="11" fillId="0" borderId="0" xfId="3" applyNumberFormat="1" applyFont="1" applyFill="1" applyBorder="1" applyAlignment="1" applyProtection="1">
      <alignment horizontal="center" vertical="center"/>
      <protection locked="0"/>
    </xf>
    <xf numFmtId="9" fontId="13" fillId="0" borderId="0" xfId="2" applyNumberFormat="1" applyFont="1" applyFill="1" applyBorder="1" applyAlignment="1">
      <alignment horizontal="center"/>
    </xf>
    <xf numFmtId="2" fontId="11" fillId="0" borderId="0" xfId="3" applyNumberFormat="1" applyFont="1" applyFill="1" applyBorder="1" applyAlignment="1" applyProtection="1">
      <alignment vertical="center"/>
      <protection locked="0"/>
    </xf>
    <xf numFmtId="0" fontId="9" fillId="0" borderId="0" xfId="2" applyFont="1" applyFill="1" applyBorder="1" applyAlignment="1"/>
    <xf numFmtId="9" fontId="13" fillId="0" borderId="0" xfId="4" applyFont="1" applyFill="1" applyBorder="1" applyAlignment="1" applyProtection="1">
      <alignment wrapText="1"/>
    </xf>
    <xf numFmtId="0" fontId="3" fillId="0" borderId="0" xfId="0" applyFont="1" applyFill="1" applyBorder="1"/>
    <xf numFmtId="0" fontId="2" fillId="4" borderId="0" xfId="0" applyFont="1" applyFill="1" applyBorder="1"/>
    <xf numFmtId="0" fontId="4" fillId="4" borderId="0" xfId="0" applyFont="1" applyFill="1" applyBorder="1"/>
    <xf numFmtId="0" fontId="2" fillId="0" borderId="0" xfId="0" applyFont="1" applyFill="1" applyBorder="1"/>
    <xf numFmtId="0" fontId="4" fillId="0" borderId="0" xfId="0" applyFont="1" applyFill="1" applyBorder="1"/>
    <xf numFmtId="0" fontId="0" fillId="0" borderId="0" xfId="0" applyFont="1" applyFill="1" applyBorder="1"/>
    <xf numFmtId="164" fontId="3" fillId="5" borderId="3" xfId="1" applyNumberFormat="1" applyFont="1" applyFill="1" applyBorder="1"/>
    <xf numFmtId="0" fontId="0" fillId="0" borderId="0" xfId="0" applyFont="1" applyAlignment="1">
      <alignment horizontal="left" vertical="top" wrapText="1"/>
    </xf>
    <xf numFmtId="0" fontId="3" fillId="0" borderId="9" xfId="0" applyFont="1" applyBorder="1" applyAlignment="1">
      <alignment horizontal="left" vertical="top" wrapText="1"/>
    </xf>
    <xf numFmtId="0" fontId="3" fillId="0" borderId="0" xfId="0" applyFont="1" applyAlignment="1">
      <alignment horizontal="center"/>
    </xf>
    <xf numFmtId="0" fontId="3" fillId="0" borderId="0" xfId="0" applyFont="1" applyAlignment="1">
      <alignment horizontal="right"/>
    </xf>
    <xf numFmtId="0" fontId="3" fillId="0" borderId="9" xfId="0" applyFont="1" applyBorder="1"/>
    <xf numFmtId="14" fontId="0" fillId="0" borderId="9" xfId="0" applyNumberFormat="1" applyBorder="1" applyAlignment="1">
      <alignment horizontal="left"/>
    </xf>
    <xf numFmtId="0" fontId="0" fillId="0" borderId="9" xfId="0" applyBorder="1"/>
    <xf numFmtId="0" fontId="0" fillId="0" borderId="9" xfId="0" applyBorder="1" applyAlignment="1">
      <alignment horizontal="left"/>
    </xf>
    <xf numFmtId="164" fontId="1" fillId="2" borderId="9" xfId="1" applyNumberFormat="1" applyFont="1" applyFill="1" applyBorder="1"/>
    <xf numFmtId="164" fontId="7" fillId="2" borderId="9" xfId="1" applyNumberFormat="1" applyFont="1" applyFill="1" applyBorder="1"/>
    <xf numFmtId="164" fontId="6" fillId="2" borderId="9" xfId="1" applyNumberFormat="1" applyFont="1" applyFill="1" applyBorder="1"/>
    <xf numFmtId="164" fontId="0" fillId="2" borderId="9" xfId="1" applyNumberFormat="1" applyFont="1" applyFill="1" applyBorder="1"/>
    <xf numFmtId="0" fontId="0" fillId="0" borderId="0" xfId="0" applyFont="1" applyAlignment="1">
      <alignment horizontal="left" vertical="top" wrapText="1"/>
    </xf>
    <xf numFmtId="2" fontId="11" fillId="3" borderId="5" xfId="3" applyNumberFormat="1" applyFont="1" applyFill="1" applyBorder="1" applyAlignment="1" applyProtection="1">
      <alignment horizontal="left" vertical="center"/>
      <protection locked="0"/>
    </xf>
    <xf numFmtId="0" fontId="9" fillId="0" borderId="8" xfId="2" applyFont="1" applyBorder="1" applyAlignment="1">
      <alignment horizontal="center"/>
    </xf>
    <xf numFmtId="0" fontId="9" fillId="0" borderId="9" xfId="2" applyFont="1" applyBorder="1" applyAlignment="1">
      <alignment horizontal="center"/>
    </xf>
    <xf numFmtId="0" fontId="9" fillId="0" borderId="10" xfId="2" applyFont="1" applyBorder="1" applyAlignment="1">
      <alignment horizontal="center"/>
    </xf>
    <xf numFmtId="0" fontId="13" fillId="0" borderId="8" xfId="2" applyFont="1" applyBorder="1" applyAlignment="1">
      <alignment horizontal="center" wrapText="1"/>
    </xf>
    <xf numFmtId="0" fontId="13" fillId="0" borderId="9" xfId="2" applyFont="1" applyBorder="1" applyAlignment="1">
      <alignment horizontal="center" wrapText="1"/>
    </xf>
    <xf numFmtId="9" fontId="13" fillId="0" borderId="9" xfId="4" applyFont="1" applyBorder="1" applyAlignment="1" applyProtection="1">
      <alignment horizontal="center" wrapText="1"/>
    </xf>
    <xf numFmtId="9" fontId="13" fillId="0" borderId="10" xfId="4" applyFont="1" applyBorder="1" applyAlignment="1" applyProtection="1">
      <alignment horizontal="center" wrapText="1"/>
    </xf>
    <xf numFmtId="0" fontId="0" fillId="5" borderId="15" xfId="0" applyFill="1" applyBorder="1" applyAlignment="1">
      <alignment horizontal="left" vertical="top"/>
    </xf>
    <xf numFmtId="0" fontId="0" fillId="5" borderId="16" xfId="0" applyFill="1" applyBorder="1" applyAlignment="1">
      <alignment horizontal="left" vertical="top"/>
    </xf>
    <xf numFmtId="0" fontId="0" fillId="5" borderId="17" xfId="0" applyFill="1" applyBorder="1" applyAlignment="1">
      <alignment horizontal="left" vertical="top"/>
    </xf>
    <xf numFmtId="0" fontId="0" fillId="0" borderId="0" xfId="0" applyAlignment="1">
      <alignment horizontal="left" vertical="top" wrapText="1"/>
    </xf>
    <xf numFmtId="0" fontId="13" fillId="0" borderId="18" xfId="2" applyFont="1" applyBorder="1"/>
    <xf numFmtId="2" fontId="11" fillId="3" borderId="19" xfId="3" applyNumberFormat="1" applyFont="1" applyFill="1" applyBorder="1" applyAlignment="1" applyProtection="1">
      <alignment horizontal="center" vertical="center"/>
      <protection locked="0"/>
    </xf>
    <xf numFmtId="9" fontId="13" fillId="0" borderId="19" xfId="4" applyFont="1" applyFill="1" applyBorder="1" applyAlignment="1" applyProtection="1">
      <alignment horizontal="center"/>
    </xf>
    <xf numFmtId="9" fontId="13" fillId="0" borderId="19" xfId="2" applyNumberFormat="1" applyFont="1" applyBorder="1" applyAlignment="1">
      <alignment horizontal="center"/>
    </xf>
    <xf numFmtId="9" fontId="13" fillId="0" borderId="19" xfId="4" applyFont="1" applyBorder="1" applyAlignment="1" applyProtection="1">
      <alignment horizontal="center"/>
    </xf>
    <xf numFmtId="9" fontId="13" fillId="0" borderId="20" xfId="4" applyFont="1" applyFill="1" applyBorder="1" applyAlignment="1" applyProtection="1">
      <alignment horizontal="center"/>
    </xf>
    <xf numFmtId="0" fontId="3" fillId="2" borderId="9" xfId="0" applyFont="1" applyFill="1" applyBorder="1" applyAlignment="1">
      <alignment horizontal="center" vertical="top" wrapText="1"/>
    </xf>
    <xf numFmtId="0" fontId="3" fillId="0" borderId="9" xfId="0" applyFont="1" applyFill="1" applyBorder="1" applyAlignment="1">
      <alignment horizontal="center" vertical="top" wrapText="1"/>
    </xf>
  </cellXfs>
  <cellStyles count="5">
    <cellStyle name="Currency" xfId="1" builtinId="4"/>
    <cellStyle name="Normal" xfId="0" builtinId="0"/>
    <cellStyle name="Normal 2" xfId="2" xr:uid="{5830A63B-01A8-4D0E-A5FD-78674133C32C}"/>
    <cellStyle name="Normal_Lachen Tara draft serna project report" xfId="3" xr:uid="{9D15251D-D8D6-40B6-BABA-427D69F9EEC3}"/>
    <cellStyle name="Percent 2" xfId="4" xr:uid="{3A204684-4E96-4A9C-8532-F73E317CEB62}"/>
  </cellStyles>
  <dxfs count="16">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D83B-6A2F-4904-B703-631C582979C3}">
  <dimension ref="A1:S28"/>
  <sheetViews>
    <sheetView zoomScale="85" zoomScaleNormal="85" workbookViewId="0">
      <selection activeCell="C8" sqref="C8"/>
    </sheetView>
  </sheetViews>
  <sheetFormatPr defaultRowHeight="12.75" x14ac:dyDescent="0.35"/>
  <cols>
    <col min="1" max="1" width="32.33203125" style="1" customWidth="1"/>
    <col min="2" max="3" width="16.796875" style="1" customWidth="1"/>
    <col min="4" max="17" width="11.19921875" style="1" bestFit="1" customWidth="1"/>
    <col min="18" max="16384" width="9.06640625" style="1"/>
  </cols>
  <sheetData>
    <row r="1" spans="1:17" ht="13.15" x14ac:dyDescent="0.4">
      <c r="A1" s="2" t="s">
        <v>0</v>
      </c>
    </row>
    <row r="2" spans="1:17" ht="13.15" x14ac:dyDescent="0.4">
      <c r="A2" s="2" t="s">
        <v>1</v>
      </c>
    </row>
    <row r="3" spans="1:17" ht="13.15" x14ac:dyDescent="0.4">
      <c r="A3" s="2"/>
    </row>
    <row r="4" spans="1:17" ht="78" customHeight="1" x14ac:dyDescent="0.35">
      <c r="A4" s="64" t="s">
        <v>65</v>
      </c>
      <c r="B4" s="64"/>
      <c r="C4" s="64"/>
      <c r="D4" s="64"/>
      <c r="E4" s="64"/>
      <c r="F4" s="64"/>
      <c r="G4" s="64"/>
      <c r="H4" s="64"/>
      <c r="I4" s="64"/>
      <c r="J4" s="64"/>
      <c r="K4" s="64"/>
    </row>
    <row r="5" spans="1:17" ht="13.15" x14ac:dyDescent="0.35">
      <c r="A5" s="53" t="s">
        <v>58</v>
      </c>
      <c r="B5" s="83"/>
      <c r="C5" s="52"/>
      <c r="D5" s="52"/>
      <c r="E5" s="52"/>
      <c r="F5" s="52"/>
      <c r="G5" s="52"/>
      <c r="H5" s="52"/>
      <c r="I5" s="52"/>
      <c r="J5" s="52"/>
      <c r="K5" s="52"/>
    </row>
    <row r="6" spans="1:17" ht="13.15" x14ac:dyDescent="0.35">
      <c r="A6" s="53" t="s">
        <v>57</v>
      </c>
      <c r="B6" s="83"/>
      <c r="D6" s="52"/>
      <c r="E6" s="52"/>
      <c r="F6" s="52"/>
      <c r="G6" s="52"/>
      <c r="H6" s="52"/>
      <c r="I6" s="52"/>
      <c r="J6" s="52"/>
      <c r="K6" s="52"/>
    </row>
    <row r="7" spans="1:17" ht="13.15" x14ac:dyDescent="0.35">
      <c r="A7" s="53" t="s">
        <v>61</v>
      </c>
      <c r="B7" s="83"/>
      <c r="D7" s="52"/>
      <c r="E7" s="52"/>
      <c r="F7" s="52"/>
      <c r="G7" s="52"/>
      <c r="H7" s="52"/>
      <c r="I7" s="52"/>
      <c r="J7" s="52"/>
      <c r="K7" s="52"/>
    </row>
    <row r="8" spans="1:17" ht="26.25" x14ac:dyDescent="0.35">
      <c r="A8" s="53" t="s">
        <v>59</v>
      </c>
      <c r="B8" s="83"/>
      <c r="D8" s="52"/>
      <c r="E8" s="52"/>
      <c r="F8" s="52"/>
      <c r="G8" s="52"/>
      <c r="H8" s="52"/>
      <c r="I8" s="52"/>
      <c r="J8" s="52"/>
      <c r="K8" s="52"/>
    </row>
    <row r="9" spans="1:17" ht="13.15" x14ac:dyDescent="0.35">
      <c r="A9" s="53" t="s">
        <v>60</v>
      </c>
      <c r="B9" s="84">
        <f>B7-B8</f>
        <v>0</v>
      </c>
      <c r="D9" s="52"/>
      <c r="E9" s="52"/>
      <c r="F9" s="52"/>
      <c r="G9" s="52"/>
      <c r="H9" s="52"/>
      <c r="I9" s="52"/>
      <c r="J9" s="52"/>
      <c r="K9" s="52"/>
    </row>
    <row r="11" spans="1:17" s="2" customFormat="1" ht="13.15" x14ac:dyDescent="0.4">
      <c r="A11" s="2" t="s">
        <v>6</v>
      </c>
      <c r="B11" s="55" t="s">
        <v>2</v>
      </c>
      <c r="C11" s="54">
        <v>1</v>
      </c>
      <c r="D11" s="54">
        <f>C11+1</f>
        <v>2</v>
      </c>
      <c r="E11" s="54">
        <f t="shared" ref="E11:Q11" si="0">D11+1</f>
        <v>3</v>
      </c>
      <c r="F11" s="54">
        <f t="shared" si="0"/>
        <v>4</v>
      </c>
      <c r="G11" s="54">
        <f t="shared" si="0"/>
        <v>5</v>
      </c>
      <c r="H11" s="54">
        <f t="shared" si="0"/>
        <v>6</v>
      </c>
      <c r="I11" s="54">
        <f t="shared" si="0"/>
        <v>7</v>
      </c>
      <c r="J11" s="54">
        <f t="shared" si="0"/>
        <v>8</v>
      </c>
      <c r="K11" s="54">
        <f t="shared" si="0"/>
        <v>9</v>
      </c>
      <c r="L11" s="54">
        <f t="shared" si="0"/>
        <v>10</v>
      </c>
      <c r="M11" s="54">
        <f t="shared" si="0"/>
        <v>11</v>
      </c>
      <c r="N11" s="54">
        <f t="shared" si="0"/>
        <v>12</v>
      </c>
      <c r="O11" s="54">
        <f t="shared" si="0"/>
        <v>13</v>
      </c>
      <c r="P11" s="54">
        <f t="shared" si="0"/>
        <v>14</v>
      </c>
      <c r="Q11" s="54">
        <f t="shared" si="0"/>
        <v>15</v>
      </c>
    </row>
    <row r="12" spans="1:17" x14ac:dyDescent="0.35">
      <c r="A12" s="4" t="s">
        <v>11</v>
      </c>
    </row>
    <row r="13" spans="1:17" x14ac:dyDescent="0.35">
      <c r="A13" s="1" t="s">
        <v>3</v>
      </c>
      <c r="B13" s="3">
        <v>0.02</v>
      </c>
      <c r="C13" s="63"/>
      <c r="D13" s="7">
        <f>C13*(1+$B$13)</f>
        <v>0</v>
      </c>
      <c r="E13" s="7">
        <f t="shared" ref="E13:Q13" si="1">D13*(1+$B$13)</f>
        <v>0</v>
      </c>
      <c r="F13" s="7">
        <f t="shared" si="1"/>
        <v>0</v>
      </c>
      <c r="G13" s="7">
        <f t="shared" si="1"/>
        <v>0</v>
      </c>
      <c r="H13" s="7">
        <f t="shared" si="1"/>
        <v>0</v>
      </c>
      <c r="I13" s="7">
        <f t="shared" si="1"/>
        <v>0</v>
      </c>
      <c r="J13" s="7">
        <f t="shared" si="1"/>
        <v>0</v>
      </c>
      <c r="K13" s="7">
        <f t="shared" si="1"/>
        <v>0</v>
      </c>
      <c r="L13" s="7">
        <f t="shared" si="1"/>
        <v>0</v>
      </c>
      <c r="M13" s="7">
        <f t="shared" si="1"/>
        <v>0</v>
      </c>
      <c r="N13" s="7">
        <f t="shared" si="1"/>
        <v>0</v>
      </c>
      <c r="O13" s="7">
        <f t="shared" si="1"/>
        <v>0</v>
      </c>
      <c r="P13" s="7">
        <f t="shared" si="1"/>
        <v>0</v>
      </c>
      <c r="Q13" s="7">
        <f t="shared" si="1"/>
        <v>0</v>
      </c>
    </row>
    <row r="14" spans="1:17" x14ac:dyDescent="0.35">
      <c r="A14" s="1" t="s">
        <v>4</v>
      </c>
      <c r="B14" s="3">
        <v>0.05</v>
      </c>
      <c r="C14" s="7">
        <f>-C13*0.05</f>
        <v>0</v>
      </c>
      <c r="D14" s="7">
        <f>-D13*0.05</f>
        <v>0</v>
      </c>
      <c r="E14" s="7">
        <f t="shared" ref="E14:Q14" si="2">-E13*0.05</f>
        <v>0</v>
      </c>
      <c r="F14" s="7">
        <f t="shared" si="2"/>
        <v>0</v>
      </c>
      <c r="G14" s="7">
        <f t="shared" si="2"/>
        <v>0</v>
      </c>
      <c r="H14" s="7">
        <f t="shared" si="2"/>
        <v>0</v>
      </c>
      <c r="I14" s="7">
        <f t="shared" si="2"/>
        <v>0</v>
      </c>
      <c r="J14" s="7">
        <f t="shared" si="2"/>
        <v>0</v>
      </c>
      <c r="K14" s="7">
        <f t="shared" si="2"/>
        <v>0</v>
      </c>
      <c r="L14" s="7">
        <f t="shared" si="2"/>
        <v>0</v>
      </c>
      <c r="M14" s="7">
        <f t="shared" si="2"/>
        <v>0</v>
      </c>
      <c r="N14" s="7">
        <f t="shared" si="2"/>
        <v>0</v>
      </c>
      <c r="O14" s="7">
        <f t="shared" si="2"/>
        <v>0</v>
      </c>
      <c r="P14" s="7">
        <f t="shared" si="2"/>
        <v>0</v>
      </c>
      <c r="Q14" s="7">
        <f t="shared" si="2"/>
        <v>0</v>
      </c>
    </row>
    <row r="15" spans="1:17" x14ac:dyDescent="0.35">
      <c r="A15" s="1" t="s">
        <v>64</v>
      </c>
      <c r="B15" s="3"/>
      <c r="C15" s="7">
        <f>B8*1400*12+B9*1000*12</f>
        <v>0</v>
      </c>
      <c r="D15" s="7">
        <f>C15</f>
        <v>0</v>
      </c>
      <c r="E15" s="7">
        <f>C15</f>
        <v>0</v>
      </c>
      <c r="F15" s="7">
        <v>0</v>
      </c>
      <c r="G15" s="7">
        <v>0</v>
      </c>
      <c r="H15" s="7">
        <v>0</v>
      </c>
      <c r="I15" s="7">
        <v>0</v>
      </c>
      <c r="J15" s="7">
        <v>0</v>
      </c>
      <c r="K15" s="7">
        <v>0</v>
      </c>
      <c r="L15" s="7">
        <v>0</v>
      </c>
      <c r="M15" s="7">
        <v>0</v>
      </c>
      <c r="N15" s="7">
        <v>0</v>
      </c>
      <c r="O15" s="7">
        <v>0</v>
      </c>
      <c r="P15" s="7">
        <v>0</v>
      </c>
      <c r="Q15" s="7">
        <v>0</v>
      </c>
    </row>
    <row r="16" spans="1:17" x14ac:dyDescent="0.35">
      <c r="A16" s="5" t="s">
        <v>5</v>
      </c>
      <c r="B16" s="3">
        <v>0.02</v>
      </c>
      <c r="C16" s="62"/>
      <c r="D16" s="8">
        <f>C16*(1+$B$16)</f>
        <v>0</v>
      </c>
      <c r="E16" s="8">
        <f t="shared" ref="E16:Q16" si="3">D16*(1+$B$16)</f>
        <v>0</v>
      </c>
      <c r="F16" s="8">
        <f t="shared" si="3"/>
        <v>0</v>
      </c>
      <c r="G16" s="8">
        <f t="shared" si="3"/>
        <v>0</v>
      </c>
      <c r="H16" s="8">
        <f t="shared" si="3"/>
        <v>0</v>
      </c>
      <c r="I16" s="8">
        <f t="shared" si="3"/>
        <v>0</v>
      </c>
      <c r="J16" s="8">
        <f t="shared" si="3"/>
        <v>0</v>
      </c>
      <c r="K16" s="8">
        <f t="shared" si="3"/>
        <v>0</v>
      </c>
      <c r="L16" s="8">
        <f t="shared" si="3"/>
        <v>0</v>
      </c>
      <c r="M16" s="8">
        <f t="shared" si="3"/>
        <v>0</v>
      </c>
      <c r="N16" s="8">
        <f t="shared" si="3"/>
        <v>0</v>
      </c>
      <c r="O16" s="8">
        <f t="shared" si="3"/>
        <v>0</v>
      </c>
      <c r="P16" s="8">
        <f t="shared" si="3"/>
        <v>0</v>
      </c>
      <c r="Q16" s="8">
        <f t="shared" si="3"/>
        <v>0</v>
      </c>
    </row>
    <row r="17" spans="1:19" x14ac:dyDescent="0.35">
      <c r="A17" s="1" t="s">
        <v>13</v>
      </c>
      <c r="B17" s="3"/>
      <c r="C17" s="7">
        <f>SUM(C13:C16)</f>
        <v>0</v>
      </c>
      <c r="D17" s="7">
        <f>SUM(D13:D16)</f>
        <v>0</v>
      </c>
      <c r="E17" s="7">
        <f>SUM(E13:E16)</f>
        <v>0</v>
      </c>
      <c r="F17" s="7">
        <f>SUM(F13:F16)</f>
        <v>0</v>
      </c>
      <c r="G17" s="7">
        <f>SUM(G13:G16)</f>
        <v>0</v>
      </c>
      <c r="H17" s="7">
        <f>SUM(H13:H16)</f>
        <v>0</v>
      </c>
      <c r="I17" s="7">
        <f>SUM(I13:I16)</f>
        <v>0</v>
      </c>
      <c r="J17" s="7">
        <f>SUM(J13:J16)</f>
        <v>0</v>
      </c>
      <c r="K17" s="7">
        <f>SUM(K13:K16)</f>
        <v>0</v>
      </c>
      <c r="L17" s="7">
        <f>SUM(L13:L16)</f>
        <v>0</v>
      </c>
      <c r="M17" s="7">
        <f>SUM(M13:M16)</f>
        <v>0</v>
      </c>
      <c r="N17" s="7">
        <f>SUM(N13:N16)</f>
        <v>0</v>
      </c>
      <c r="O17" s="7">
        <f>SUM(O13:O16)</f>
        <v>0</v>
      </c>
      <c r="P17" s="7">
        <f>SUM(P13:P16)</f>
        <v>0</v>
      </c>
      <c r="Q17" s="7">
        <f>SUM(Q13:Q16)</f>
        <v>0</v>
      </c>
    </row>
    <row r="18" spans="1:19" x14ac:dyDescent="0.35">
      <c r="C18" s="7"/>
      <c r="D18" s="7"/>
      <c r="E18" s="7"/>
      <c r="F18" s="7"/>
      <c r="G18" s="7"/>
      <c r="H18" s="7"/>
      <c r="I18" s="7"/>
      <c r="J18" s="7"/>
      <c r="K18" s="7"/>
      <c r="L18" s="7"/>
      <c r="M18" s="7"/>
      <c r="N18" s="7"/>
      <c r="O18" s="7"/>
      <c r="P18" s="7"/>
      <c r="Q18" s="7"/>
    </row>
    <row r="19" spans="1:19" x14ac:dyDescent="0.35">
      <c r="A19" s="4" t="s">
        <v>10</v>
      </c>
      <c r="C19" s="7"/>
      <c r="D19" s="7"/>
      <c r="E19" s="7"/>
      <c r="F19" s="7"/>
      <c r="G19" s="7"/>
      <c r="H19" s="7"/>
      <c r="I19" s="7"/>
      <c r="J19" s="7"/>
      <c r="K19" s="7"/>
      <c r="L19" s="7"/>
      <c r="M19" s="7"/>
      <c r="N19" s="7"/>
      <c r="O19" s="7"/>
      <c r="P19" s="7"/>
      <c r="Q19" s="7"/>
    </row>
    <row r="20" spans="1:19" x14ac:dyDescent="0.35">
      <c r="A20" s="1" t="s">
        <v>7</v>
      </c>
      <c r="B20" s="3">
        <v>3.5000000000000003E-2</v>
      </c>
      <c r="C20" s="60"/>
      <c r="D20" s="7">
        <f t="shared" ref="D20:Q20" si="4">C20*(1+$B$20)</f>
        <v>0</v>
      </c>
      <c r="E20" s="7">
        <f t="shared" si="4"/>
        <v>0</v>
      </c>
      <c r="F20" s="7">
        <f t="shared" si="4"/>
        <v>0</v>
      </c>
      <c r="G20" s="7">
        <f t="shared" si="4"/>
        <v>0</v>
      </c>
      <c r="H20" s="7">
        <f t="shared" si="4"/>
        <v>0</v>
      </c>
      <c r="I20" s="7">
        <f t="shared" si="4"/>
        <v>0</v>
      </c>
      <c r="J20" s="7">
        <f t="shared" si="4"/>
        <v>0</v>
      </c>
      <c r="K20" s="7">
        <f t="shared" si="4"/>
        <v>0</v>
      </c>
      <c r="L20" s="7">
        <f t="shared" si="4"/>
        <v>0</v>
      </c>
      <c r="M20" s="7">
        <f t="shared" si="4"/>
        <v>0</v>
      </c>
      <c r="N20" s="7">
        <f t="shared" si="4"/>
        <v>0</v>
      </c>
      <c r="O20" s="7">
        <f t="shared" si="4"/>
        <v>0</v>
      </c>
      <c r="P20" s="7">
        <f t="shared" si="4"/>
        <v>0</v>
      </c>
      <c r="Q20" s="7">
        <f t="shared" si="4"/>
        <v>0</v>
      </c>
    </row>
    <row r="21" spans="1:19" ht="15" x14ac:dyDescent="0.65">
      <c r="A21" s="5" t="s">
        <v>8</v>
      </c>
      <c r="B21" s="3">
        <v>3.5000000000000003E-2</v>
      </c>
      <c r="C21" s="61"/>
      <c r="D21" s="8">
        <f t="shared" ref="D21:Q21" si="5">C21*(1+$B$21)</f>
        <v>0</v>
      </c>
      <c r="E21" s="8">
        <f t="shared" si="5"/>
        <v>0</v>
      </c>
      <c r="F21" s="8">
        <f t="shared" si="5"/>
        <v>0</v>
      </c>
      <c r="G21" s="8">
        <f t="shared" si="5"/>
        <v>0</v>
      </c>
      <c r="H21" s="8">
        <f t="shared" si="5"/>
        <v>0</v>
      </c>
      <c r="I21" s="8">
        <f t="shared" si="5"/>
        <v>0</v>
      </c>
      <c r="J21" s="8">
        <f t="shared" si="5"/>
        <v>0</v>
      </c>
      <c r="K21" s="8">
        <f t="shared" si="5"/>
        <v>0</v>
      </c>
      <c r="L21" s="8">
        <f t="shared" si="5"/>
        <v>0</v>
      </c>
      <c r="M21" s="8">
        <f t="shared" si="5"/>
        <v>0</v>
      </c>
      <c r="N21" s="8">
        <f t="shared" si="5"/>
        <v>0</v>
      </c>
      <c r="O21" s="8">
        <f t="shared" si="5"/>
        <v>0</v>
      </c>
      <c r="P21" s="8">
        <f t="shared" si="5"/>
        <v>0</v>
      </c>
      <c r="Q21" s="8">
        <f t="shared" si="5"/>
        <v>0</v>
      </c>
      <c r="R21" s="5"/>
      <c r="S21" s="5"/>
    </row>
    <row r="22" spans="1:19" x14ac:dyDescent="0.35">
      <c r="A22" s="1" t="s">
        <v>12</v>
      </c>
      <c r="B22" s="3"/>
      <c r="C22" s="9"/>
      <c r="D22" s="9">
        <f t="shared" ref="D22:Q22" si="6">SUM(D20:D21)</f>
        <v>0</v>
      </c>
      <c r="E22" s="9">
        <f t="shared" si="6"/>
        <v>0</v>
      </c>
      <c r="F22" s="9">
        <f t="shared" si="6"/>
        <v>0</v>
      </c>
      <c r="G22" s="9">
        <f t="shared" si="6"/>
        <v>0</v>
      </c>
      <c r="H22" s="9">
        <f t="shared" si="6"/>
        <v>0</v>
      </c>
      <c r="I22" s="9">
        <f t="shared" si="6"/>
        <v>0</v>
      </c>
      <c r="J22" s="9">
        <f t="shared" si="6"/>
        <v>0</v>
      </c>
      <c r="K22" s="9">
        <f t="shared" si="6"/>
        <v>0</v>
      </c>
      <c r="L22" s="9">
        <f t="shared" si="6"/>
        <v>0</v>
      </c>
      <c r="M22" s="9">
        <f t="shared" si="6"/>
        <v>0</v>
      </c>
      <c r="N22" s="9">
        <f t="shared" si="6"/>
        <v>0</v>
      </c>
      <c r="O22" s="9">
        <f t="shared" si="6"/>
        <v>0</v>
      </c>
      <c r="P22" s="9">
        <f t="shared" si="6"/>
        <v>0</v>
      </c>
      <c r="Q22" s="9">
        <f t="shared" si="6"/>
        <v>0</v>
      </c>
      <c r="R22" s="6"/>
      <c r="S22" s="6"/>
    </row>
    <row r="23" spans="1:19" x14ac:dyDescent="0.35">
      <c r="C23" s="7"/>
      <c r="D23" s="7"/>
      <c r="E23" s="7"/>
      <c r="F23" s="7"/>
      <c r="G23" s="7"/>
      <c r="H23" s="7"/>
      <c r="I23" s="7"/>
      <c r="J23" s="7"/>
      <c r="K23" s="7"/>
      <c r="L23" s="7"/>
      <c r="M23" s="7"/>
      <c r="N23" s="7"/>
      <c r="O23" s="7"/>
      <c r="P23" s="7"/>
      <c r="Q23" s="7"/>
    </row>
    <row r="24" spans="1:19" s="2" customFormat="1" ht="13.15" x14ac:dyDescent="0.4">
      <c r="A24" s="2" t="s">
        <v>9</v>
      </c>
      <c r="C24" s="10">
        <f>C17-C22</f>
        <v>0</v>
      </c>
      <c r="D24" s="10">
        <f t="shared" ref="D24:Q24" si="7">D17-D22</f>
        <v>0</v>
      </c>
      <c r="E24" s="10">
        <f t="shared" si="7"/>
        <v>0</v>
      </c>
      <c r="F24" s="10">
        <f t="shared" si="7"/>
        <v>0</v>
      </c>
      <c r="G24" s="10">
        <f t="shared" si="7"/>
        <v>0</v>
      </c>
      <c r="H24" s="10">
        <f t="shared" si="7"/>
        <v>0</v>
      </c>
      <c r="I24" s="10">
        <f t="shared" si="7"/>
        <v>0</v>
      </c>
      <c r="J24" s="10">
        <f t="shared" si="7"/>
        <v>0</v>
      </c>
      <c r="K24" s="10">
        <f t="shared" si="7"/>
        <v>0</v>
      </c>
      <c r="L24" s="10">
        <f t="shared" si="7"/>
        <v>0</v>
      </c>
      <c r="M24" s="10">
        <f t="shared" si="7"/>
        <v>0</v>
      </c>
      <c r="N24" s="10">
        <f t="shared" si="7"/>
        <v>0</v>
      </c>
      <c r="O24" s="10">
        <f t="shared" si="7"/>
        <v>0</v>
      </c>
      <c r="P24" s="10">
        <f t="shared" si="7"/>
        <v>0</v>
      </c>
      <c r="Q24" s="10">
        <f t="shared" si="7"/>
        <v>0</v>
      </c>
    </row>
    <row r="25" spans="1:19" s="2" customFormat="1" ht="13.15" x14ac:dyDescent="0.4">
      <c r="C25" s="10"/>
      <c r="D25" s="10"/>
      <c r="E25" s="10"/>
      <c r="F25" s="10"/>
      <c r="G25" s="10"/>
      <c r="H25" s="10"/>
      <c r="I25" s="10"/>
      <c r="J25" s="10"/>
      <c r="K25" s="10"/>
      <c r="L25" s="10"/>
      <c r="M25" s="10"/>
      <c r="N25" s="10"/>
      <c r="O25" s="10"/>
      <c r="P25" s="10"/>
      <c r="Q25" s="10"/>
    </row>
    <row r="26" spans="1:19" s="2" customFormat="1" ht="13.15" x14ac:dyDescent="0.4">
      <c r="A26" s="2" t="s">
        <v>56</v>
      </c>
      <c r="C26" s="10">
        <f>B7*10000</f>
        <v>0</v>
      </c>
      <c r="D26" s="10"/>
      <c r="E26" s="10"/>
      <c r="F26" s="10"/>
      <c r="G26" s="10"/>
      <c r="H26" s="10"/>
      <c r="I26" s="10"/>
      <c r="J26" s="10"/>
      <c r="K26" s="10"/>
      <c r="L26" s="10"/>
      <c r="M26" s="10"/>
      <c r="N26" s="10"/>
      <c r="O26" s="10"/>
      <c r="P26" s="10"/>
      <c r="Q26" s="10"/>
    </row>
    <row r="27" spans="1:19" ht="13.15" thickBot="1" x14ac:dyDescent="0.4"/>
    <row r="28" spans="1:19" ht="13.5" thickBot="1" x14ac:dyDescent="0.45">
      <c r="A28" s="11" t="s">
        <v>14</v>
      </c>
      <c r="B28" s="12"/>
      <c r="C28" s="51">
        <f>IF(SUM(C26,C24:Q24)&lt;0,SUM(C26,C24:Q24),0)</f>
        <v>0</v>
      </c>
    </row>
  </sheetData>
  <mergeCells count="1">
    <mergeCell ref="A4:K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1890-6D2A-41DC-B7EE-9CA14CC214B8}">
  <dimension ref="A1:R38"/>
  <sheetViews>
    <sheetView tabSelected="1" topLeftCell="A10" zoomScale="70" zoomScaleNormal="70" workbookViewId="0">
      <selection activeCell="J18" sqref="J18"/>
    </sheetView>
  </sheetViews>
  <sheetFormatPr defaultRowHeight="12.75" x14ac:dyDescent="0.35"/>
  <cols>
    <col min="1" max="1" width="35.73046875" style="33" customWidth="1"/>
    <col min="2" max="16384" width="9.06640625" style="33"/>
  </cols>
  <sheetData>
    <row r="1" spans="1:18" s="1" customFormat="1" ht="13.15" x14ac:dyDescent="0.4">
      <c r="A1" s="2" t="s">
        <v>0</v>
      </c>
    </row>
    <row r="2" spans="1:18" ht="13.15" x14ac:dyDescent="0.4">
      <c r="A2" s="45" t="s">
        <v>39</v>
      </c>
    </row>
    <row r="3" spans="1:18" x14ac:dyDescent="0.35">
      <c r="A3" s="50" t="s">
        <v>40</v>
      </c>
    </row>
    <row r="4" spans="1:18" x14ac:dyDescent="0.35">
      <c r="A4" s="50"/>
    </row>
    <row r="5" spans="1:18" x14ac:dyDescent="0.35">
      <c r="A5" s="33" t="s">
        <v>41</v>
      </c>
    </row>
    <row r="6" spans="1:18" ht="41.25" customHeight="1" x14ac:dyDescent="0.35">
      <c r="A6" s="73"/>
      <c r="B6" s="74"/>
      <c r="C6" s="74"/>
      <c r="D6" s="74"/>
      <c r="E6" s="74"/>
      <c r="F6" s="74"/>
      <c r="G6" s="74"/>
      <c r="H6" s="74"/>
      <c r="I6" s="74"/>
      <c r="J6" s="74"/>
      <c r="K6" s="74"/>
      <c r="L6" s="74"/>
      <c r="M6" s="74"/>
      <c r="N6" s="74"/>
      <c r="O6" s="75"/>
    </row>
    <row r="8" spans="1:18" ht="13.5" thickBot="1" x14ac:dyDescent="0.45">
      <c r="A8" s="46" t="s">
        <v>42</v>
      </c>
      <c r="B8" s="47"/>
      <c r="C8" s="47"/>
      <c r="D8" s="47"/>
      <c r="E8" s="47"/>
      <c r="F8" s="47"/>
      <c r="G8" s="47"/>
      <c r="H8" s="47"/>
      <c r="I8" s="47"/>
      <c r="J8" s="47"/>
      <c r="K8" s="47"/>
      <c r="L8" s="47"/>
      <c r="M8" s="47"/>
      <c r="N8" s="47"/>
      <c r="O8" s="47"/>
    </row>
    <row r="9" spans="1:18" ht="13.9" x14ac:dyDescent="0.4">
      <c r="A9" s="13" t="s">
        <v>34</v>
      </c>
      <c r="B9" s="65"/>
      <c r="C9" s="65"/>
      <c r="D9" s="65"/>
      <c r="E9" s="65"/>
      <c r="F9" s="65"/>
      <c r="G9" s="65"/>
      <c r="H9" s="65"/>
      <c r="I9" s="65"/>
      <c r="J9" s="65"/>
      <c r="K9" s="65"/>
      <c r="L9" s="65"/>
      <c r="M9" s="65"/>
      <c r="N9" s="31"/>
      <c r="O9" s="32"/>
    </row>
    <row r="10" spans="1:18" ht="13.9" x14ac:dyDescent="0.4">
      <c r="A10" s="66" t="s">
        <v>16</v>
      </c>
      <c r="B10" s="67"/>
      <c r="C10" s="67"/>
      <c r="D10" s="67"/>
      <c r="E10" s="67"/>
      <c r="F10" s="67"/>
      <c r="G10" s="67"/>
      <c r="H10" s="67"/>
      <c r="I10" s="67"/>
      <c r="J10" s="67"/>
      <c r="K10" s="67"/>
      <c r="L10" s="67"/>
      <c r="M10" s="67"/>
      <c r="N10" s="67"/>
      <c r="O10" s="68"/>
    </row>
    <row r="11" spans="1:18" ht="88.5" x14ac:dyDescent="0.35">
      <c r="A11" s="69"/>
      <c r="B11" s="16" t="s">
        <v>35</v>
      </c>
      <c r="C11" s="17"/>
      <c r="D11" s="16" t="s">
        <v>36</v>
      </c>
      <c r="E11" s="70"/>
      <c r="F11" s="70"/>
      <c r="G11" s="16" t="s">
        <v>37</v>
      </c>
      <c r="H11" s="70"/>
      <c r="I11" s="70"/>
      <c r="J11" s="16" t="s">
        <v>38</v>
      </c>
      <c r="K11" s="17"/>
      <c r="L11" s="17"/>
      <c r="M11" s="16" t="s">
        <v>22</v>
      </c>
      <c r="N11" s="71"/>
      <c r="O11" s="72"/>
    </row>
    <row r="12" spans="1:18" ht="13.9" x14ac:dyDescent="0.35">
      <c r="A12" s="69"/>
      <c r="B12" s="18" t="s">
        <v>23</v>
      </c>
      <c r="C12" s="18" t="s">
        <v>24</v>
      </c>
      <c r="D12" s="18" t="s">
        <v>23</v>
      </c>
      <c r="E12" s="18" t="s">
        <v>24</v>
      </c>
      <c r="F12" s="18" t="s">
        <v>25</v>
      </c>
      <c r="G12" s="18" t="s">
        <v>23</v>
      </c>
      <c r="H12" s="18" t="s">
        <v>24</v>
      </c>
      <c r="I12" s="18" t="s">
        <v>25</v>
      </c>
      <c r="J12" s="18" t="s">
        <v>23</v>
      </c>
      <c r="K12" s="18" t="s">
        <v>24</v>
      </c>
      <c r="L12" s="18" t="s">
        <v>25</v>
      </c>
      <c r="M12" s="18" t="s">
        <v>23</v>
      </c>
      <c r="N12" s="19" t="s">
        <v>24</v>
      </c>
      <c r="O12" s="20" t="s">
        <v>25</v>
      </c>
      <c r="P12" s="42"/>
      <c r="Q12" s="34"/>
      <c r="R12" s="35"/>
    </row>
    <row r="13" spans="1:18" ht="13.9" x14ac:dyDescent="0.4">
      <c r="A13" s="21" t="s">
        <v>12</v>
      </c>
      <c r="B13" s="22"/>
      <c r="C13" s="19" t="str">
        <f>IFERROR(B13/$B$13,"")</f>
        <v/>
      </c>
      <c r="D13" s="22"/>
      <c r="E13" s="19"/>
      <c r="F13" s="18"/>
      <c r="G13" s="22"/>
      <c r="H13" s="19"/>
      <c r="I13" s="23"/>
      <c r="J13" s="22"/>
      <c r="K13" s="19"/>
      <c r="L13" s="23"/>
      <c r="M13" s="22"/>
      <c r="N13" s="18"/>
      <c r="O13" s="20"/>
      <c r="P13" s="43"/>
      <c r="Q13" s="43"/>
      <c r="R13" s="43"/>
    </row>
    <row r="14" spans="1:18" ht="13.5" x14ac:dyDescent="0.35">
      <c r="A14" s="21" t="s">
        <v>26</v>
      </c>
      <c r="B14" s="22"/>
      <c r="C14" s="19" t="str">
        <f t="shared" ref="C14:C21" si="0">IFERROR(B14/$B$13,"")</f>
        <v/>
      </c>
      <c r="D14" s="22"/>
      <c r="E14" s="19" t="str">
        <f t="shared" ref="E14:E21" si="1">IFERROR(D14/$D$13,"")</f>
        <v/>
      </c>
      <c r="F14" s="23" t="str">
        <f t="shared" ref="F14:F21" si="2">IFERROR(E14-C14,"")</f>
        <v/>
      </c>
      <c r="G14" s="22"/>
      <c r="H14" s="19" t="str">
        <f t="shared" ref="H14:H21" si="3">IFERROR(G14/$G$13,"")</f>
        <v/>
      </c>
      <c r="I14" s="23" t="str">
        <f>IFERROR(H14-$H$13,"")</f>
        <v/>
      </c>
      <c r="J14" s="22"/>
      <c r="K14" s="19" t="str">
        <f t="shared" ref="K14:K21" si="4">IFERROR(J14/$J$13,"")</f>
        <v/>
      </c>
      <c r="L14" s="23" t="str">
        <f t="shared" ref="L14:L21" si="5">IFERROR(K14-$C14,"")</f>
        <v/>
      </c>
      <c r="M14" s="22"/>
      <c r="N14" s="19" t="str">
        <f t="shared" ref="N14:N21" si="6">IFERROR(M14/$M$13,"")</f>
        <v/>
      </c>
      <c r="O14" s="20" t="str">
        <f t="shared" ref="O14:O21" si="7">IFERROR(N14-$C14,"")</f>
        <v/>
      </c>
      <c r="P14" s="36"/>
      <c r="Q14" s="44"/>
      <c r="R14" s="44"/>
    </row>
    <row r="15" spans="1:18" ht="13.5" x14ac:dyDescent="0.35">
      <c r="A15" s="21" t="s">
        <v>27</v>
      </c>
      <c r="B15" s="22"/>
      <c r="C15" s="19" t="str">
        <f t="shared" si="0"/>
        <v/>
      </c>
      <c r="D15" s="22"/>
      <c r="E15" s="19" t="str">
        <f t="shared" si="1"/>
        <v/>
      </c>
      <c r="F15" s="23" t="str">
        <f t="shared" si="2"/>
        <v/>
      </c>
      <c r="G15" s="22"/>
      <c r="H15" s="19" t="str">
        <f>IFERROR(G15/$G$13,"")</f>
        <v/>
      </c>
      <c r="I15" s="23" t="str">
        <f>IFERROR(H15-$H$13,"")</f>
        <v/>
      </c>
      <c r="J15" s="22"/>
      <c r="K15" s="19" t="str">
        <f t="shared" si="4"/>
        <v/>
      </c>
      <c r="L15" s="23" t="str">
        <f t="shared" si="5"/>
        <v/>
      </c>
      <c r="M15" s="22"/>
      <c r="N15" s="19" t="str">
        <f t="shared" si="6"/>
        <v/>
      </c>
      <c r="O15" s="20" t="str">
        <f t="shared" si="7"/>
        <v/>
      </c>
      <c r="P15" s="37"/>
      <c r="Q15" s="38"/>
      <c r="R15" s="38"/>
    </row>
    <row r="16" spans="1:18" ht="13.5" x14ac:dyDescent="0.35">
      <c r="A16" s="21" t="s">
        <v>28</v>
      </c>
      <c r="B16" s="22"/>
      <c r="C16" s="19" t="str">
        <f t="shared" si="0"/>
        <v/>
      </c>
      <c r="D16" s="22"/>
      <c r="E16" s="19" t="str">
        <f t="shared" si="1"/>
        <v/>
      </c>
      <c r="F16" s="23" t="str">
        <f t="shared" si="2"/>
        <v/>
      </c>
      <c r="G16" s="22"/>
      <c r="H16" s="19" t="str">
        <f>IFERROR(G16/$G$13,"")</f>
        <v/>
      </c>
      <c r="I16" s="23" t="str">
        <f t="shared" ref="I16:I21" si="8">IFERROR(H16-$H$13,"")</f>
        <v/>
      </c>
      <c r="J16" s="22"/>
      <c r="K16" s="19" t="str">
        <f t="shared" si="4"/>
        <v/>
      </c>
      <c r="L16" s="23" t="str">
        <f t="shared" si="5"/>
        <v/>
      </c>
      <c r="M16" s="22"/>
      <c r="N16" s="19" t="str">
        <f t="shared" si="6"/>
        <v/>
      </c>
      <c r="O16" s="20" t="str">
        <f t="shared" si="7"/>
        <v/>
      </c>
      <c r="P16" s="40"/>
      <c r="Q16" s="38"/>
      <c r="R16" s="38"/>
    </row>
    <row r="17" spans="1:18" ht="13.5" x14ac:dyDescent="0.35">
      <c r="A17" s="21" t="s">
        <v>29</v>
      </c>
      <c r="B17" s="22"/>
      <c r="C17" s="19" t="str">
        <f t="shared" si="0"/>
        <v/>
      </c>
      <c r="D17" s="22"/>
      <c r="E17" s="19" t="str">
        <f t="shared" si="1"/>
        <v/>
      </c>
      <c r="F17" s="23" t="str">
        <f t="shared" si="2"/>
        <v/>
      </c>
      <c r="G17" s="22"/>
      <c r="H17" s="19" t="str">
        <f t="shared" si="3"/>
        <v/>
      </c>
      <c r="I17" s="23" t="str">
        <f t="shared" si="8"/>
        <v/>
      </c>
      <c r="J17" s="22"/>
      <c r="K17" s="19" t="str">
        <f t="shared" si="4"/>
        <v/>
      </c>
      <c r="L17" s="23" t="str">
        <f t="shared" si="5"/>
        <v/>
      </c>
      <c r="M17" s="22"/>
      <c r="N17" s="19" t="str">
        <f t="shared" si="6"/>
        <v/>
      </c>
      <c r="O17" s="20" t="str">
        <f t="shared" si="7"/>
        <v/>
      </c>
      <c r="P17" s="40"/>
      <c r="Q17" s="38"/>
      <c r="R17" s="38"/>
    </row>
    <row r="18" spans="1:18" ht="13.5" x14ac:dyDescent="0.35">
      <c r="A18" s="21" t="s">
        <v>30</v>
      </c>
      <c r="B18" s="22"/>
      <c r="C18" s="19" t="str">
        <f t="shared" si="0"/>
        <v/>
      </c>
      <c r="D18" s="22"/>
      <c r="E18" s="19" t="str">
        <f t="shared" si="1"/>
        <v/>
      </c>
      <c r="F18" s="23" t="str">
        <f t="shared" si="2"/>
        <v/>
      </c>
      <c r="G18" s="22"/>
      <c r="H18" s="19" t="str">
        <f t="shared" si="3"/>
        <v/>
      </c>
      <c r="I18" s="23" t="str">
        <f t="shared" si="8"/>
        <v/>
      </c>
      <c r="J18" s="22"/>
      <c r="K18" s="19" t="str">
        <f t="shared" si="4"/>
        <v/>
      </c>
      <c r="L18" s="23" t="str">
        <f t="shared" si="5"/>
        <v/>
      </c>
      <c r="M18" s="22"/>
      <c r="N18" s="19" t="str">
        <f t="shared" si="6"/>
        <v/>
      </c>
      <c r="O18" s="20" t="str">
        <f t="shared" si="7"/>
        <v/>
      </c>
      <c r="P18" s="40"/>
      <c r="Q18" s="38"/>
      <c r="R18" s="38"/>
    </row>
    <row r="19" spans="1:18" ht="13.5" x14ac:dyDescent="0.35">
      <c r="A19" s="21" t="s">
        <v>31</v>
      </c>
      <c r="B19" s="22"/>
      <c r="C19" s="19" t="str">
        <f t="shared" si="0"/>
        <v/>
      </c>
      <c r="D19" s="22"/>
      <c r="E19" s="19" t="str">
        <f t="shared" si="1"/>
        <v/>
      </c>
      <c r="F19" s="23" t="str">
        <f t="shared" si="2"/>
        <v/>
      </c>
      <c r="G19" s="22"/>
      <c r="H19" s="19" t="str">
        <f t="shared" si="3"/>
        <v/>
      </c>
      <c r="I19" s="23" t="str">
        <f t="shared" si="8"/>
        <v/>
      </c>
      <c r="J19" s="22"/>
      <c r="K19" s="19" t="str">
        <f t="shared" si="4"/>
        <v/>
      </c>
      <c r="L19" s="23" t="str">
        <f t="shared" si="5"/>
        <v/>
      </c>
      <c r="M19" s="22"/>
      <c r="N19" s="19" t="str">
        <f t="shared" si="6"/>
        <v/>
      </c>
      <c r="O19" s="20" t="str">
        <f t="shared" si="7"/>
        <v/>
      </c>
      <c r="P19" s="40"/>
      <c r="Q19" s="38"/>
      <c r="R19" s="38"/>
    </row>
    <row r="20" spans="1:18" ht="13.5" x14ac:dyDescent="0.35">
      <c r="A20" s="21" t="s">
        <v>32</v>
      </c>
      <c r="B20" s="22"/>
      <c r="C20" s="19" t="str">
        <f t="shared" si="0"/>
        <v/>
      </c>
      <c r="D20" s="22"/>
      <c r="E20" s="19" t="str">
        <f t="shared" si="1"/>
        <v/>
      </c>
      <c r="F20" s="23" t="str">
        <f t="shared" si="2"/>
        <v/>
      </c>
      <c r="G20" s="22"/>
      <c r="H20" s="19" t="str">
        <f t="shared" si="3"/>
        <v/>
      </c>
      <c r="I20" s="23" t="str">
        <f t="shared" si="8"/>
        <v/>
      </c>
      <c r="J20" s="22"/>
      <c r="K20" s="19" t="str">
        <f t="shared" si="4"/>
        <v/>
      </c>
      <c r="L20" s="23" t="str">
        <f t="shared" si="5"/>
        <v/>
      </c>
      <c r="M20" s="22"/>
      <c r="N20" s="19" t="str">
        <f t="shared" si="6"/>
        <v/>
      </c>
      <c r="O20" s="20" t="str">
        <f t="shared" si="7"/>
        <v/>
      </c>
      <c r="P20" s="40"/>
      <c r="Q20" s="38"/>
      <c r="R20" s="38"/>
    </row>
    <row r="21" spans="1:18" ht="13.9" thickBot="1" x14ac:dyDescent="0.4">
      <c r="A21" s="25" t="s">
        <v>33</v>
      </c>
      <c r="B21" s="26"/>
      <c r="C21" s="27" t="str">
        <f t="shared" si="0"/>
        <v/>
      </c>
      <c r="D21" s="26"/>
      <c r="E21" s="27" t="str">
        <f t="shared" si="1"/>
        <v/>
      </c>
      <c r="F21" s="28" t="str">
        <f t="shared" si="2"/>
        <v/>
      </c>
      <c r="G21" s="26"/>
      <c r="H21" s="27" t="str">
        <f t="shared" si="3"/>
        <v/>
      </c>
      <c r="I21" s="28" t="str">
        <f t="shared" si="8"/>
        <v/>
      </c>
      <c r="J21" s="26"/>
      <c r="K21" s="27" t="str">
        <f t="shared" si="4"/>
        <v/>
      </c>
      <c r="L21" s="28" t="str">
        <f t="shared" si="5"/>
        <v/>
      </c>
      <c r="M21" s="26"/>
      <c r="N21" s="27" t="str">
        <f t="shared" si="6"/>
        <v/>
      </c>
      <c r="O21" s="30" t="str">
        <f t="shared" si="7"/>
        <v/>
      </c>
      <c r="P21" s="40"/>
      <c r="Q21" s="38"/>
      <c r="R21" s="38"/>
    </row>
    <row r="22" spans="1:18" ht="13.5" x14ac:dyDescent="0.35">
      <c r="A22" s="39"/>
      <c r="B22" s="40"/>
      <c r="C22" s="38"/>
      <c r="D22" s="40"/>
      <c r="E22" s="38"/>
      <c r="F22" s="41"/>
      <c r="G22" s="40"/>
      <c r="H22" s="38"/>
      <c r="I22" s="41"/>
      <c r="J22" s="40"/>
      <c r="K22" s="38"/>
      <c r="L22" s="41"/>
      <c r="M22" s="40"/>
      <c r="N22" s="38"/>
      <c r="O22" s="38"/>
      <c r="P22" s="40"/>
      <c r="Q22" s="38"/>
      <c r="R22" s="38"/>
    </row>
    <row r="23" spans="1:18" ht="13.5" x14ac:dyDescent="0.35">
      <c r="A23" s="39"/>
      <c r="B23" s="40"/>
      <c r="C23" s="38"/>
      <c r="D23" s="40"/>
      <c r="E23" s="38"/>
      <c r="F23" s="41"/>
      <c r="G23" s="40"/>
      <c r="H23" s="38"/>
      <c r="I23" s="41"/>
      <c r="J23" s="40"/>
      <c r="K23" s="38"/>
      <c r="L23" s="41"/>
      <c r="M23" s="40"/>
      <c r="N23" s="38"/>
      <c r="O23" s="38"/>
      <c r="P23" s="40"/>
      <c r="Q23" s="38"/>
      <c r="R23" s="38"/>
    </row>
    <row r="24" spans="1:18" ht="13.15" x14ac:dyDescent="0.4">
      <c r="A24" s="46" t="s">
        <v>43</v>
      </c>
      <c r="B24" s="47"/>
      <c r="C24" s="47"/>
      <c r="D24" s="47"/>
      <c r="E24" s="47"/>
      <c r="F24" s="47"/>
      <c r="G24" s="47"/>
      <c r="H24" s="47"/>
      <c r="I24" s="47"/>
      <c r="J24" s="47"/>
      <c r="K24" s="47"/>
      <c r="L24" s="47"/>
      <c r="M24" s="47"/>
      <c r="N24" s="47"/>
      <c r="O24" s="47"/>
      <c r="P24" s="47"/>
      <c r="Q24" s="47"/>
      <c r="R24" s="47"/>
    </row>
    <row r="25" spans="1:18" ht="13.5" thickBot="1" x14ac:dyDescent="0.45">
      <c r="A25" s="48"/>
      <c r="B25" s="49"/>
      <c r="C25" s="49"/>
      <c r="D25" s="49"/>
      <c r="E25" s="49"/>
      <c r="F25" s="49"/>
      <c r="G25" s="49"/>
      <c r="H25" s="49"/>
      <c r="I25" s="49"/>
      <c r="J25" s="49"/>
      <c r="K25" s="49"/>
      <c r="L25" s="49"/>
      <c r="M25" s="49"/>
      <c r="N25" s="49"/>
      <c r="O25" s="49"/>
    </row>
    <row r="26" spans="1:18" ht="13.9" x14ac:dyDescent="0.4">
      <c r="A26" s="13" t="s">
        <v>15</v>
      </c>
      <c r="B26" s="65"/>
      <c r="C26" s="65"/>
      <c r="D26" s="65"/>
      <c r="E26" s="65"/>
      <c r="F26" s="65"/>
      <c r="G26" s="65"/>
      <c r="H26" s="65"/>
      <c r="I26" s="65"/>
      <c r="J26" s="65"/>
      <c r="K26" s="65"/>
      <c r="L26" s="65"/>
      <c r="M26" s="65"/>
      <c r="N26" s="65"/>
      <c r="O26" s="65"/>
      <c r="P26" s="65"/>
      <c r="Q26" s="14"/>
      <c r="R26" s="15"/>
    </row>
    <row r="27" spans="1:18" ht="13.9" x14ac:dyDescent="0.4">
      <c r="A27" s="66" t="s">
        <v>16</v>
      </c>
      <c r="B27" s="67"/>
      <c r="C27" s="67"/>
      <c r="D27" s="67"/>
      <c r="E27" s="67"/>
      <c r="F27" s="67"/>
      <c r="G27" s="67"/>
      <c r="H27" s="67"/>
      <c r="I27" s="67"/>
      <c r="J27" s="67"/>
      <c r="K27" s="67"/>
      <c r="L27" s="67"/>
      <c r="M27" s="67"/>
      <c r="N27" s="67"/>
      <c r="O27" s="67"/>
      <c r="P27" s="67"/>
      <c r="Q27" s="67"/>
      <c r="R27" s="68"/>
    </row>
    <row r="28" spans="1:18" ht="88.5" x14ac:dyDescent="0.35">
      <c r="A28" s="69"/>
      <c r="B28" s="16" t="s">
        <v>17</v>
      </c>
      <c r="C28" s="17"/>
      <c r="D28" s="16" t="s">
        <v>18</v>
      </c>
      <c r="E28" s="70"/>
      <c r="F28" s="70"/>
      <c r="G28" s="16" t="s">
        <v>19</v>
      </c>
      <c r="H28" s="70"/>
      <c r="I28" s="70"/>
      <c r="J28" s="16" t="s">
        <v>20</v>
      </c>
      <c r="K28" s="70"/>
      <c r="L28" s="70"/>
      <c r="M28" s="16" t="s">
        <v>21</v>
      </c>
      <c r="N28" s="71"/>
      <c r="O28" s="71"/>
      <c r="P28" s="16" t="s">
        <v>22</v>
      </c>
      <c r="Q28" s="71"/>
      <c r="R28" s="72"/>
    </row>
    <row r="29" spans="1:18" ht="13.5" x14ac:dyDescent="0.35">
      <c r="A29" s="69"/>
      <c r="B29" s="18" t="s">
        <v>23</v>
      </c>
      <c r="C29" s="18" t="s">
        <v>24</v>
      </c>
      <c r="D29" s="18" t="s">
        <v>23</v>
      </c>
      <c r="E29" s="18" t="s">
        <v>24</v>
      </c>
      <c r="F29" s="18" t="s">
        <v>25</v>
      </c>
      <c r="G29" s="18" t="s">
        <v>23</v>
      </c>
      <c r="H29" s="18" t="s">
        <v>24</v>
      </c>
      <c r="I29" s="18" t="s">
        <v>25</v>
      </c>
      <c r="J29" s="18" t="s">
        <v>23</v>
      </c>
      <c r="K29" s="18" t="s">
        <v>24</v>
      </c>
      <c r="L29" s="18" t="s">
        <v>25</v>
      </c>
      <c r="M29" s="18" t="s">
        <v>23</v>
      </c>
      <c r="N29" s="19" t="s">
        <v>24</v>
      </c>
      <c r="O29" s="19" t="s">
        <v>25</v>
      </c>
      <c r="P29" s="18" t="s">
        <v>23</v>
      </c>
      <c r="Q29" s="19" t="s">
        <v>24</v>
      </c>
      <c r="R29" s="20" t="s">
        <v>25</v>
      </c>
    </row>
    <row r="30" spans="1:18" ht="13.5" x14ac:dyDescent="0.35">
      <c r="A30" s="21" t="s">
        <v>12</v>
      </c>
      <c r="B30" s="22"/>
      <c r="C30" s="19" t="str">
        <f t="shared" ref="C30:C38" si="9">IFERROR(B30/$B$30,"")</f>
        <v/>
      </c>
      <c r="D30" s="22"/>
      <c r="E30" s="19"/>
      <c r="F30" s="18"/>
      <c r="G30" s="22"/>
      <c r="H30" s="19" t="str">
        <f t="shared" ref="H30:H38" si="10">IFERROR(G30/$G$30,"")</f>
        <v/>
      </c>
      <c r="I30" s="23"/>
      <c r="J30" s="22"/>
      <c r="K30" s="19"/>
      <c r="L30" s="23"/>
      <c r="M30" s="22"/>
      <c r="N30" s="18"/>
      <c r="O30" s="19"/>
      <c r="P30" s="22"/>
      <c r="Q30" s="24"/>
      <c r="R30" s="20"/>
    </row>
    <row r="31" spans="1:18" ht="13.5" x14ac:dyDescent="0.35">
      <c r="A31" s="21" t="s">
        <v>26</v>
      </c>
      <c r="B31" s="22"/>
      <c r="C31" s="19" t="str">
        <f t="shared" si="9"/>
        <v/>
      </c>
      <c r="D31" s="22"/>
      <c r="E31" s="19" t="str">
        <f t="shared" ref="E31:E38" si="11">IFERROR(D31/$D$30,"")</f>
        <v/>
      </c>
      <c r="F31" s="23" t="str">
        <f t="shared" ref="F31:F38" si="12">IFERROR(E31-C31,"")</f>
        <v/>
      </c>
      <c r="G31" s="22"/>
      <c r="H31" s="19" t="str">
        <f t="shared" si="10"/>
        <v/>
      </c>
      <c r="I31" s="23" t="str">
        <f t="shared" ref="I31:I38" si="13">IFERROR(H31-$H$30,"")</f>
        <v/>
      </c>
      <c r="J31" s="22"/>
      <c r="K31" s="19" t="str">
        <f t="shared" ref="K31:K38" si="14">IFERROR(J31/$J$30,"")</f>
        <v/>
      </c>
      <c r="L31" s="23" t="str">
        <f t="shared" ref="L31:L38" si="15">IFERROR(K31-$C31,"")</f>
        <v/>
      </c>
      <c r="M31" s="22"/>
      <c r="N31" s="19" t="str">
        <f t="shared" ref="N31:N38" si="16">IFERROR(M31/$M$30,"")</f>
        <v/>
      </c>
      <c r="O31" s="19" t="str">
        <f t="shared" ref="O31:O38" si="17">IFERROR(N31-$C31,"")</f>
        <v/>
      </c>
      <c r="P31" s="22"/>
      <c r="Q31" s="24" t="str">
        <f t="shared" ref="Q31:Q38" si="18">IFERROR(P31/$P$30,"")</f>
        <v/>
      </c>
      <c r="R31" s="20" t="str">
        <f t="shared" ref="R31:R38" si="19">IFERROR(Q31-$C31,"")</f>
        <v/>
      </c>
    </row>
    <row r="32" spans="1:18" ht="13.5" x14ac:dyDescent="0.35">
      <c r="A32" s="21" t="s">
        <v>27</v>
      </c>
      <c r="B32" s="22"/>
      <c r="C32" s="19" t="str">
        <f t="shared" si="9"/>
        <v/>
      </c>
      <c r="D32" s="22"/>
      <c r="E32" s="19" t="str">
        <f t="shared" si="11"/>
        <v/>
      </c>
      <c r="F32" s="23" t="str">
        <f t="shared" si="12"/>
        <v/>
      </c>
      <c r="G32" s="22"/>
      <c r="H32" s="19" t="str">
        <f t="shared" si="10"/>
        <v/>
      </c>
      <c r="I32" s="23" t="str">
        <f t="shared" si="13"/>
        <v/>
      </c>
      <c r="J32" s="22"/>
      <c r="K32" s="19" t="str">
        <f t="shared" si="14"/>
        <v/>
      </c>
      <c r="L32" s="23" t="str">
        <f t="shared" si="15"/>
        <v/>
      </c>
      <c r="M32" s="22"/>
      <c r="N32" s="19" t="str">
        <f t="shared" si="16"/>
        <v/>
      </c>
      <c r="O32" s="19" t="str">
        <f t="shared" si="17"/>
        <v/>
      </c>
      <c r="P32" s="22"/>
      <c r="Q32" s="24" t="str">
        <f t="shared" si="18"/>
        <v/>
      </c>
      <c r="R32" s="20" t="str">
        <f t="shared" si="19"/>
        <v/>
      </c>
    </row>
    <row r="33" spans="1:18" ht="13.5" x14ac:dyDescent="0.35">
      <c r="A33" s="21" t="s">
        <v>28</v>
      </c>
      <c r="B33" s="22"/>
      <c r="C33" s="19" t="str">
        <f t="shared" si="9"/>
        <v/>
      </c>
      <c r="D33" s="22"/>
      <c r="E33" s="19" t="str">
        <f t="shared" si="11"/>
        <v/>
      </c>
      <c r="F33" s="23" t="str">
        <f t="shared" si="12"/>
        <v/>
      </c>
      <c r="G33" s="22"/>
      <c r="H33" s="19" t="str">
        <f t="shared" si="10"/>
        <v/>
      </c>
      <c r="I33" s="23" t="str">
        <f t="shared" si="13"/>
        <v/>
      </c>
      <c r="J33" s="22"/>
      <c r="K33" s="19" t="str">
        <f t="shared" si="14"/>
        <v/>
      </c>
      <c r="L33" s="23" t="str">
        <f t="shared" si="15"/>
        <v/>
      </c>
      <c r="M33" s="22"/>
      <c r="N33" s="19" t="str">
        <f t="shared" si="16"/>
        <v/>
      </c>
      <c r="O33" s="19" t="str">
        <f t="shared" si="17"/>
        <v/>
      </c>
      <c r="P33" s="22"/>
      <c r="Q33" s="24" t="str">
        <f t="shared" si="18"/>
        <v/>
      </c>
      <c r="R33" s="20" t="str">
        <f t="shared" si="19"/>
        <v/>
      </c>
    </row>
    <row r="34" spans="1:18" ht="13.5" x14ac:dyDescent="0.35">
      <c r="A34" s="21" t="s">
        <v>29</v>
      </c>
      <c r="B34" s="22"/>
      <c r="C34" s="19" t="str">
        <f t="shared" si="9"/>
        <v/>
      </c>
      <c r="D34" s="22"/>
      <c r="E34" s="19" t="str">
        <f t="shared" si="11"/>
        <v/>
      </c>
      <c r="F34" s="23" t="str">
        <f t="shared" si="12"/>
        <v/>
      </c>
      <c r="G34" s="22"/>
      <c r="H34" s="19" t="str">
        <f t="shared" si="10"/>
        <v/>
      </c>
      <c r="I34" s="23" t="str">
        <f t="shared" si="13"/>
        <v/>
      </c>
      <c r="J34" s="22"/>
      <c r="K34" s="19" t="str">
        <f t="shared" si="14"/>
        <v/>
      </c>
      <c r="L34" s="23" t="str">
        <f t="shared" si="15"/>
        <v/>
      </c>
      <c r="M34" s="22"/>
      <c r="N34" s="19" t="str">
        <f t="shared" si="16"/>
        <v/>
      </c>
      <c r="O34" s="19" t="str">
        <f t="shared" si="17"/>
        <v/>
      </c>
      <c r="P34" s="22"/>
      <c r="Q34" s="24" t="str">
        <f t="shared" si="18"/>
        <v/>
      </c>
      <c r="R34" s="20" t="str">
        <f t="shared" si="19"/>
        <v/>
      </c>
    </row>
    <row r="35" spans="1:18" ht="13.5" x14ac:dyDescent="0.35">
      <c r="A35" s="21" t="s">
        <v>30</v>
      </c>
      <c r="B35" s="22"/>
      <c r="C35" s="19" t="str">
        <f t="shared" si="9"/>
        <v/>
      </c>
      <c r="D35" s="22"/>
      <c r="E35" s="19" t="str">
        <f t="shared" si="11"/>
        <v/>
      </c>
      <c r="F35" s="23" t="str">
        <f t="shared" si="12"/>
        <v/>
      </c>
      <c r="G35" s="22"/>
      <c r="H35" s="19" t="str">
        <f t="shared" si="10"/>
        <v/>
      </c>
      <c r="I35" s="23" t="str">
        <f t="shared" si="13"/>
        <v/>
      </c>
      <c r="J35" s="22"/>
      <c r="K35" s="19" t="str">
        <f t="shared" si="14"/>
        <v/>
      </c>
      <c r="L35" s="23" t="str">
        <f t="shared" si="15"/>
        <v/>
      </c>
      <c r="M35" s="22"/>
      <c r="N35" s="19" t="str">
        <f t="shared" si="16"/>
        <v/>
      </c>
      <c r="O35" s="19" t="str">
        <f t="shared" si="17"/>
        <v/>
      </c>
      <c r="P35" s="22"/>
      <c r="Q35" s="24" t="str">
        <f t="shared" si="18"/>
        <v/>
      </c>
      <c r="R35" s="20" t="str">
        <f t="shared" si="19"/>
        <v/>
      </c>
    </row>
    <row r="36" spans="1:18" ht="13.5" x14ac:dyDescent="0.35">
      <c r="A36" s="21" t="s">
        <v>31</v>
      </c>
      <c r="B36" s="22"/>
      <c r="C36" s="19" t="str">
        <f t="shared" si="9"/>
        <v/>
      </c>
      <c r="D36" s="22"/>
      <c r="E36" s="19" t="str">
        <f t="shared" si="11"/>
        <v/>
      </c>
      <c r="F36" s="23" t="str">
        <f t="shared" si="12"/>
        <v/>
      </c>
      <c r="G36" s="22"/>
      <c r="H36" s="19" t="str">
        <f t="shared" si="10"/>
        <v/>
      </c>
      <c r="I36" s="23" t="str">
        <f t="shared" si="13"/>
        <v/>
      </c>
      <c r="J36" s="22"/>
      <c r="K36" s="19" t="str">
        <f t="shared" si="14"/>
        <v/>
      </c>
      <c r="L36" s="23" t="str">
        <f t="shared" si="15"/>
        <v/>
      </c>
      <c r="M36" s="22"/>
      <c r="N36" s="19" t="str">
        <f t="shared" si="16"/>
        <v/>
      </c>
      <c r="O36" s="19" t="str">
        <f t="shared" si="17"/>
        <v/>
      </c>
      <c r="P36" s="22"/>
      <c r="Q36" s="24" t="str">
        <f t="shared" si="18"/>
        <v/>
      </c>
      <c r="R36" s="20" t="str">
        <f t="shared" si="19"/>
        <v/>
      </c>
    </row>
    <row r="37" spans="1:18" ht="13.5" x14ac:dyDescent="0.35">
      <c r="A37" s="77" t="s">
        <v>32</v>
      </c>
      <c r="B37" s="78"/>
      <c r="C37" s="79" t="str">
        <f t="shared" si="9"/>
        <v/>
      </c>
      <c r="D37" s="78"/>
      <c r="E37" s="79" t="str">
        <f t="shared" si="11"/>
        <v/>
      </c>
      <c r="F37" s="80" t="str">
        <f t="shared" si="12"/>
        <v/>
      </c>
      <c r="G37" s="78"/>
      <c r="H37" s="79" t="str">
        <f t="shared" si="10"/>
        <v/>
      </c>
      <c r="I37" s="80" t="str">
        <f t="shared" si="13"/>
        <v/>
      </c>
      <c r="J37" s="78"/>
      <c r="K37" s="79" t="str">
        <f t="shared" si="14"/>
        <v/>
      </c>
      <c r="L37" s="80" t="str">
        <f t="shared" si="15"/>
        <v/>
      </c>
      <c r="M37" s="78"/>
      <c r="N37" s="79" t="str">
        <f t="shared" si="16"/>
        <v/>
      </c>
      <c r="O37" s="79" t="str">
        <f t="shared" si="17"/>
        <v/>
      </c>
      <c r="P37" s="78"/>
      <c r="Q37" s="81" t="str">
        <f t="shared" si="18"/>
        <v/>
      </c>
      <c r="R37" s="82" t="str">
        <f t="shared" si="19"/>
        <v/>
      </c>
    </row>
    <row r="38" spans="1:18" ht="13.9" thickBot="1" x14ac:dyDescent="0.4">
      <c r="A38" s="25" t="s">
        <v>33</v>
      </c>
      <c r="B38" s="26"/>
      <c r="C38" s="27" t="str">
        <f t="shared" si="9"/>
        <v/>
      </c>
      <c r="D38" s="26"/>
      <c r="E38" s="27" t="str">
        <f t="shared" si="11"/>
        <v/>
      </c>
      <c r="F38" s="28" t="str">
        <f t="shared" si="12"/>
        <v/>
      </c>
      <c r="G38" s="26"/>
      <c r="H38" s="19" t="str">
        <f t="shared" si="10"/>
        <v/>
      </c>
      <c r="I38" s="23" t="str">
        <f t="shared" si="13"/>
        <v/>
      </c>
      <c r="J38" s="26"/>
      <c r="K38" s="27" t="str">
        <f t="shared" si="14"/>
        <v/>
      </c>
      <c r="L38" s="28" t="str">
        <f t="shared" si="15"/>
        <v/>
      </c>
      <c r="M38" s="26"/>
      <c r="N38" s="27" t="str">
        <f t="shared" si="16"/>
        <v/>
      </c>
      <c r="O38" s="27" t="str">
        <f t="shared" si="17"/>
        <v/>
      </c>
      <c r="P38" s="26"/>
      <c r="Q38" s="29" t="str">
        <f t="shared" si="18"/>
        <v/>
      </c>
      <c r="R38" s="30" t="str">
        <f t="shared" si="19"/>
        <v/>
      </c>
    </row>
  </sheetData>
  <mergeCells count="15">
    <mergeCell ref="A6:O6"/>
    <mergeCell ref="B9:M9"/>
    <mergeCell ref="A10:O10"/>
    <mergeCell ref="A11:A12"/>
    <mergeCell ref="E11:F11"/>
    <mergeCell ref="H11:I11"/>
    <mergeCell ref="N11:O11"/>
    <mergeCell ref="B26:P26"/>
    <mergeCell ref="A27:R27"/>
    <mergeCell ref="A28:A29"/>
    <mergeCell ref="E28:F28"/>
    <mergeCell ref="H28:I28"/>
    <mergeCell ref="K28:L28"/>
    <mergeCell ref="N28:O28"/>
    <mergeCell ref="Q28:R28"/>
  </mergeCells>
  <conditionalFormatting sqref="L22:L23">
    <cfRule type="cellIs" dxfId="15" priority="15" operator="greaterThan">
      <formula>0.01</formula>
    </cfRule>
    <cfRule type="cellIs" dxfId="14" priority="16" operator="greaterThan">
      <formula>1</formula>
    </cfRule>
  </conditionalFormatting>
  <conditionalFormatting sqref="O22:O23">
    <cfRule type="cellIs" dxfId="13" priority="14" operator="greaterThan">
      <formula>0.01</formula>
    </cfRule>
  </conditionalFormatting>
  <conditionalFormatting sqref="R17:R23">
    <cfRule type="cellIs" dxfId="12" priority="13" operator="greaterThan">
      <formula>0.01</formula>
    </cfRule>
  </conditionalFormatting>
  <conditionalFormatting sqref="I22:I23">
    <cfRule type="cellIs" dxfId="11" priority="11" operator="greaterThan">
      <formula>0.01</formula>
    </cfRule>
    <cfRule type="cellIs" dxfId="10" priority="12" operator="greaterThan">
      <formula>1</formula>
    </cfRule>
  </conditionalFormatting>
  <conditionalFormatting sqref="I14:I21">
    <cfRule type="cellIs" dxfId="9" priority="10" operator="greaterThan">
      <formula>0.01</formula>
    </cfRule>
  </conditionalFormatting>
  <conditionalFormatting sqref="L14:L21">
    <cfRule type="cellIs" dxfId="8" priority="8" operator="greaterThan">
      <formula>0.01</formula>
    </cfRule>
    <cfRule type="cellIs" dxfId="7" priority="9" operator="greaterThan">
      <formula>1</formula>
    </cfRule>
  </conditionalFormatting>
  <conditionalFormatting sqref="O14:O21">
    <cfRule type="cellIs" dxfId="6" priority="7" operator="greaterThan">
      <formula>0.01</formula>
    </cfRule>
  </conditionalFormatting>
  <conditionalFormatting sqref="L31:L38">
    <cfRule type="cellIs" dxfId="5" priority="5" operator="greaterThan">
      <formula>0.01</formula>
    </cfRule>
    <cfRule type="cellIs" dxfId="4" priority="6" operator="greaterThan">
      <formula>1</formula>
    </cfRule>
  </conditionalFormatting>
  <conditionalFormatting sqref="O31:O38">
    <cfRule type="cellIs" dxfId="3" priority="4" operator="greaterThan">
      <formula>0.01</formula>
    </cfRule>
  </conditionalFormatting>
  <conditionalFormatting sqref="R31:R38">
    <cfRule type="cellIs" dxfId="2" priority="3" operator="greaterThan">
      <formula>0.01</formula>
    </cfRule>
  </conditionalFormatting>
  <conditionalFormatting sqref="I31:I38">
    <cfRule type="cellIs" dxfId="1" priority="1" operator="greaterThan">
      <formula>0.01</formula>
    </cfRule>
    <cfRule type="cellIs" dxfId="0" priority="2" operator="greaterThan">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A003-A2B9-4369-98AD-A2457BC71C1D}">
  <dimension ref="A1:C20"/>
  <sheetViews>
    <sheetView zoomScale="85" zoomScaleNormal="85" workbookViewId="0">
      <selection activeCell="C6" sqref="C6"/>
    </sheetView>
  </sheetViews>
  <sheetFormatPr defaultRowHeight="12.75" x14ac:dyDescent="0.35"/>
  <cols>
    <col min="1" max="1" width="13.59765625" customWidth="1"/>
    <col min="2" max="2" width="53.86328125" customWidth="1"/>
    <col min="3" max="3" width="39.86328125" customWidth="1"/>
  </cols>
  <sheetData>
    <row r="1" spans="1:3" s="1" customFormat="1" ht="13.15" x14ac:dyDescent="0.4">
      <c r="A1" s="2" t="s">
        <v>0</v>
      </c>
    </row>
    <row r="2" spans="1:3" s="1" customFormat="1" ht="13.15" x14ac:dyDescent="0.4">
      <c r="A2" s="2" t="s">
        <v>47</v>
      </c>
    </row>
    <row r="3" spans="1:3" ht="64.900000000000006" customHeight="1" x14ac:dyDescent="0.35">
      <c r="A3" s="76" t="s">
        <v>54</v>
      </c>
      <c r="B3" s="76"/>
      <c r="C3" s="76"/>
    </row>
    <row r="5" spans="1:3" ht="13.15" x14ac:dyDescent="0.4">
      <c r="A5" s="56" t="s">
        <v>45</v>
      </c>
      <c r="B5" s="56" t="s">
        <v>46</v>
      </c>
      <c r="C5" s="56" t="s">
        <v>63</v>
      </c>
    </row>
    <row r="6" spans="1:3" x14ac:dyDescent="0.35">
      <c r="A6" s="57">
        <v>44593</v>
      </c>
      <c r="B6" s="58" t="s">
        <v>44</v>
      </c>
      <c r="C6" s="58"/>
    </row>
    <row r="7" spans="1:3" x14ac:dyDescent="0.35">
      <c r="A7" s="59"/>
      <c r="B7" s="58" t="s">
        <v>49</v>
      </c>
      <c r="C7" s="58"/>
    </row>
    <row r="8" spans="1:3" x14ac:dyDescent="0.35">
      <c r="A8" s="59"/>
      <c r="B8" s="58" t="s">
        <v>48</v>
      </c>
      <c r="C8" s="58"/>
    </row>
    <row r="9" spans="1:3" x14ac:dyDescent="0.35">
      <c r="A9" s="59"/>
      <c r="B9" s="58" t="s">
        <v>53</v>
      </c>
      <c r="C9" s="58"/>
    </row>
    <row r="10" spans="1:3" x14ac:dyDescent="0.35">
      <c r="A10" s="59"/>
      <c r="B10" s="58" t="s">
        <v>52</v>
      </c>
      <c r="C10" s="58"/>
    </row>
    <row r="11" spans="1:3" x14ac:dyDescent="0.35">
      <c r="A11" s="59"/>
      <c r="B11" s="58" t="s">
        <v>50</v>
      </c>
      <c r="C11" s="58"/>
    </row>
    <row r="12" spans="1:3" x14ac:dyDescent="0.35">
      <c r="A12" s="59"/>
      <c r="B12" s="58" t="s">
        <v>62</v>
      </c>
      <c r="C12" s="57">
        <f>8*30+A6</f>
        <v>44833</v>
      </c>
    </row>
    <row r="13" spans="1:3" x14ac:dyDescent="0.35">
      <c r="A13" s="59"/>
      <c r="B13" s="58" t="s">
        <v>51</v>
      </c>
      <c r="C13" s="57">
        <f>A6+365</f>
        <v>44958</v>
      </c>
    </row>
    <row r="14" spans="1:3" x14ac:dyDescent="0.35">
      <c r="A14" s="59"/>
      <c r="B14" s="58" t="s">
        <v>55</v>
      </c>
      <c r="C14" s="57">
        <f>C13+90</f>
        <v>45048</v>
      </c>
    </row>
    <row r="15" spans="1:3" x14ac:dyDescent="0.35">
      <c r="A15" s="59"/>
      <c r="B15" s="58"/>
      <c r="C15" s="58"/>
    </row>
    <row r="16" spans="1:3" x14ac:dyDescent="0.35">
      <c r="A16" s="59"/>
      <c r="B16" s="58"/>
      <c r="C16" s="58"/>
    </row>
    <row r="17" spans="1:3" x14ac:dyDescent="0.35">
      <c r="A17" s="59"/>
      <c r="B17" s="58"/>
      <c r="C17" s="58"/>
    </row>
    <row r="18" spans="1:3" x14ac:dyDescent="0.35">
      <c r="A18" s="59"/>
      <c r="B18" s="58"/>
      <c r="C18" s="58"/>
    </row>
    <row r="19" spans="1:3" x14ac:dyDescent="0.35">
      <c r="A19" s="59"/>
      <c r="B19" s="58"/>
      <c r="C19" s="58"/>
    </row>
    <row r="20" spans="1:3" x14ac:dyDescent="0.35">
      <c r="A20" s="59"/>
      <c r="B20" s="58"/>
      <c r="C20" s="58"/>
    </row>
  </sheetData>
  <mergeCells count="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Capitalized Operating Reserve</vt:lpstr>
      <vt:lpstr>Systems Outcomes</vt:lpstr>
      <vt:lpstr>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 Christina</dc:creator>
  <cp:lastModifiedBy>Mun, Christina</cp:lastModifiedBy>
  <dcterms:created xsi:type="dcterms:W3CDTF">2021-10-15T02:57:24Z</dcterms:created>
  <dcterms:modified xsi:type="dcterms:W3CDTF">2021-10-16T02:29:53Z</dcterms:modified>
</cp:coreProperties>
</file>