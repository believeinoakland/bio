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eu9c\Documents\SFSP\"/>
    </mc:Choice>
  </mc:AlternateContent>
  <xr:revisionPtr revIDLastSave="0" documentId="13_ncr:1_{35D10200-C85C-45BC-81B4-8F0F4E3D8F16}" xr6:coauthVersionLast="45" xr6:coauthVersionMax="45" xr10:uidLastSave="{00000000-0000-0000-0000-000000000000}"/>
  <bookViews>
    <workbookView xWindow="-110" yWindow="-110" windowWidth="21820" windowHeight="14020" xr2:uid="{00000000-000D-0000-FFFF-FFFF00000000}"/>
  </bookViews>
  <sheets>
    <sheet name="Week 1 (3)" sheetId="7" r:id="rId1"/>
    <sheet name="Week 1 (2)" sheetId="6" r:id="rId2"/>
    <sheet name="Week 1" sheetId="4" r:id="rId3"/>
    <sheet name="Week 2" sheetId="1" r:id="rId4"/>
    <sheet name="Week 3 &amp;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6" l="1"/>
  <c r="J29" i="6"/>
  <c r="K28" i="6"/>
  <c r="I28" i="6"/>
  <c r="K27" i="6"/>
  <c r="I27" i="6"/>
  <c r="H21" i="6"/>
  <c r="K18" i="6"/>
  <c r="I18" i="6"/>
  <c r="L16" i="6"/>
  <c r="I16" i="6"/>
  <c r="H15" i="6"/>
  <c r="K13" i="6"/>
  <c r="H13" i="6"/>
  <c r="J11" i="6"/>
  <c r="J10" i="6"/>
  <c r="K9" i="6"/>
  <c r="H9" i="6"/>
  <c r="L8" i="6"/>
  <c r="I8" i="6"/>
  <c r="K7" i="6"/>
  <c r="J6" i="6"/>
  <c r="J5" i="6"/>
  <c r="K3" i="6"/>
  <c r="H3" i="6"/>
  <c r="L2" i="6"/>
  <c r="I2" i="6"/>
  <c r="J1" i="6"/>
  <c r="K22" i="5" l="1"/>
  <c r="I22" i="5"/>
  <c r="H8" i="5"/>
  <c r="J15" i="5"/>
  <c r="K26" i="5"/>
  <c r="I26" i="5"/>
  <c r="K25" i="5"/>
  <c r="I25" i="5"/>
  <c r="K24" i="5"/>
  <c r="H24" i="5"/>
  <c r="K20" i="5"/>
  <c r="H20" i="5"/>
  <c r="K18" i="5"/>
  <c r="I18" i="5"/>
  <c r="K17" i="5"/>
  <c r="K9" i="5"/>
  <c r="I9" i="5"/>
  <c r="K3" i="5"/>
  <c r="I3" i="5"/>
  <c r="J29" i="5"/>
  <c r="K27" i="5"/>
  <c r="H27" i="5"/>
  <c r="K19" i="5"/>
  <c r="H19" i="5"/>
  <c r="J14" i="5"/>
  <c r="J12" i="5"/>
  <c r="J10" i="5"/>
  <c r="J2" i="5"/>
  <c r="K1" i="5"/>
  <c r="H1" i="5"/>
  <c r="J28" i="5"/>
  <c r="H16" i="5"/>
  <c r="H11" i="5"/>
  <c r="H32" i="5" s="1"/>
  <c r="L6" i="5"/>
  <c r="I6" i="5"/>
  <c r="H4" i="5"/>
  <c r="J30" i="5"/>
  <c r="L23" i="5"/>
  <c r="I23" i="5"/>
  <c r="K21" i="5"/>
  <c r="J13" i="5"/>
  <c r="K7" i="5"/>
  <c r="H7" i="5"/>
  <c r="L5" i="5"/>
  <c r="I5" i="5"/>
  <c r="K24" i="1"/>
  <c r="H24" i="1"/>
  <c r="K20" i="1"/>
  <c r="H20" i="1"/>
  <c r="K18" i="1"/>
  <c r="I18" i="1"/>
  <c r="K3" i="1"/>
  <c r="I3" i="1"/>
  <c r="K19" i="1"/>
  <c r="H19" i="1"/>
  <c r="J10" i="1"/>
  <c r="H11" i="1"/>
  <c r="L30" i="4"/>
  <c r="J30" i="4"/>
  <c r="L29" i="4"/>
  <c r="J29" i="4"/>
  <c r="L23" i="4"/>
  <c r="L18" i="4"/>
  <c r="J18" i="4"/>
  <c r="K10" i="4"/>
  <c r="L9" i="4"/>
  <c r="I9" i="4"/>
  <c r="K6" i="4"/>
  <c r="K5" i="4"/>
  <c r="K1" i="4"/>
  <c r="L13" i="4"/>
  <c r="I13" i="4"/>
  <c r="K31" i="4"/>
  <c r="I22" i="4"/>
  <c r="M16" i="4"/>
  <c r="J16" i="4"/>
  <c r="I15" i="4"/>
  <c r="K11" i="4"/>
  <c r="M8" i="4"/>
  <c r="J8" i="4"/>
  <c r="L7" i="4"/>
  <c r="K20" i="4"/>
  <c r="L3" i="4"/>
  <c r="I3" i="4"/>
  <c r="M2" i="4"/>
  <c r="J2" i="4"/>
  <c r="K26" i="1"/>
  <c r="I26" i="1"/>
  <c r="K25" i="1"/>
  <c r="I25" i="1"/>
  <c r="K17" i="1"/>
  <c r="K9" i="1"/>
  <c r="I9" i="1"/>
  <c r="J29" i="1"/>
  <c r="K27" i="1"/>
  <c r="H27" i="1"/>
  <c r="J14" i="1"/>
  <c r="J12" i="1"/>
  <c r="J2" i="1"/>
  <c r="K1" i="1"/>
  <c r="H1" i="1"/>
  <c r="J28" i="1"/>
  <c r="H16" i="1"/>
  <c r="L6" i="1"/>
  <c r="I6" i="1"/>
  <c r="H4" i="1"/>
  <c r="J30" i="1"/>
  <c r="L23" i="1"/>
  <c r="L31" i="1" s="1"/>
  <c r="I23" i="1"/>
  <c r="K21" i="1"/>
  <c r="J13" i="1"/>
  <c r="K7" i="1"/>
  <c r="H7" i="1"/>
  <c r="L5" i="1"/>
  <c r="I5" i="1"/>
  <c r="I32" i="1" l="1"/>
  <c r="J32" i="1"/>
  <c r="N32" i="1" s="1"/>
  <c r="J32" i="5"/>
  <c r="N32" i="5" s="1"/>
  <c r="L32" i="1"/>
  <c r="H32" i="1"/>
  <c r="L32" i="5"/>
  <c r="K32" i="5"/>
  <c r="K32" i="1"/>
  <c r="I32" i="5"/>
</calcChain>
</file>

<file path=xl/sharedStrings.xml><?xml version="1.0" encoding="utf-8"?>
<sst xmlns="http://schemas.openxmlformats.org/spreadsheetml/2006/main" count="523" uniqueCount="77">
  <si>
    <t>City Towers Apartments</t>
  </si>
  <si>
    <t>1065 8th Street</t>
  </si>
  <si>
    <t>X</t>
  </si>
  <si>
    <t>East Oakland Boxing</t>
  </si>
  <si>
    <t xml:space="preserve">816 98th Avenue </t>
  </si>
  <si>
    <t>Helping Hand East Bay</t>
  </si>
  <si>
    <t>TBA</t>
  </si>
  <si>
    <t>Oak Center</t>
  </si>
  <si>
    <t>1324 Adeline Street</t>
  </si>
  <si>
    <t>Peralta Hacienda</t>
  </si>
  <si>
    <t>2465 34th Avenue</t>
  </si>
  <si>
    <t>YMCA of the East Bay</t>
  </si>
  <si>
    <t>2350 Broadway</t>
  </si>
  <si>
    <t>Cathedral Gardens</t>
  </si>
  <si>
    <t>638 21st Street</t>
  </si>
  <si>
    <t>EAH Housing -Estrella Vista</t>
  </si>
  <si>
    <t>3706 San Pablo Avenue</t>
  </si>
  <si>
    <t>Family Support Service Program</t>
  </si>
  <si>
    <t>1189 12th Street</t>
  </si>
  <si>
    <t>Lake Merritt Methodist</t>
  </si>
  <si>
    <t>1255 1st Avenue</t>
  </si>
  <si>
    <t>Lions Creek Apartments</t>
  </si>
  <si>
    <t>6818 Lion Way</t>
  </si>
  <si>
    <t>Trybe</t>
  </si>
  <si>
    <r>
      <t> </t>
    </r>
    <r>
      <rPr>
        <sz val="10"/>
        <color theme="0"/>
        <rFont val="Arial"/>
        <family val="2"/>
      </rPr>
      <t>2701 22nd Avenue</t>
    </r>
  </si>
  <si>
    <t>Acorn Housing</t>
  </si>
  <si>
    <t>1143 10th Street</t>
  </si>
  <si>
    <t>Allendale Recreation Center</t>
  </si>
  <si>
    <t>3711 Suter Street</t>
  </si>
  <si>
    <t>Family Support Service - Grab and Go</t>
  </si>
  <si>
    <t>1188 12th Street</t>
  </si>
  <si>
    <t>Franklin Recreation Center</t>
  </si>
  <si>
    <t>1010 E. 15th Street</t>
  </si>
  <si>
    <t>Ira Jinkins Recreation Center</t>
  </si>
  <si>
    <t>9175 Edes Avenue</t>
  </si>
  <si>
    <t>MESA</t>
  </si>
  <si>
    <t>1100 47th Street</t>
  </si>
  <si>
    <t>St. Andrew Missionary Baptist Church</t>
  </si>
  <si>
    <t>2608 West Street</t>
  </si>
  <si>
    <t>Willie Keys Recreation Center</t>
  </si>
  <si>
    <t>3131 Union Street</t>
  </si>
  <si>
    <t>Campbell Village</t>
  </si>
  <si>
    <t>800 Willow Street</t>
  </si>
  <si>
    <t>East Oakland Youth Development</t>
  </si>
  <si>
    <t>8200 International Blvd</t>
  </si>
  <si>
    <t>EBALC 12th Street</t>
  </si>
  <si>
    <t>3611 E. 12th Street</t>
  </si>
  <si>
    <t>Lockwood Apartments</t>
  </si>
  <si>
    <t>1327 65th Avenue</t>
  </si>
  <si>
    <t>Mohr 1 Apartments</t>
  </si>
  <si>
    <t>741 Filbert Street</t>
  </si>
  <si>
    <t>Oakland PAL</t>
  </si>
  <si>
    <t>9600 Sunnyside Street</t>
  </si>
  <si>
    <t xml:space="preserve">Peralta Village </t>
  </si>
  <si>
    <t>935 Union Street</t>
  </si>
  <si>
    <t>Satilighte Affordable Housing 14</t>
  </si>
  <si>
    <t>160 14th Street</t>
  </si>
  <si>
    <t>Satilighte Affordable Housing Foothill</t>
  </si>
  <si>
    <t>6475 Foothill Blvd</t>
  </si>
  <si>
    <r>
      <t> </t>
    </r>
    <r>
      <rPr>
        <sz val="10"/>
        <color theme="1"/>
        <rFont val="Arial"/>
        <family val="2"/>
      </rPr>
      <t>2701 22nd Avenue</t>
    </r>
  </si>
  <si>
    <t>Zip</t>
  </si>
  <si>
    <t>closed</t>
  </si>
  <si>
    <t>open</t>
  </si>
  <si>
    <t>OPEN SITES - Service for Kids 18 and under &amp; adults with disabilities enrolled in a school program</t>
  </si>
  <si>
    <t>CLOSED SITES - Service for those enrolled in a site program</t>
  </si>
  <si>
    <t>Morh 1 Apartments</t>
  </si>
  <si>
    <t>Site/Organization</t>
  </si>
  <si>
    <t>Address</t>
  </si>
  <si>
    <t>Start Date</t>
  </si>
  <si>
    <t>Start Time</t>
  </si>
  <si>
    <t>End Time</t>
  </si>
  <si>
    <t>M</t>
  </si>
  <si>
    <t>T</t>
  </si>
  <si>
    <t>W</t>
  </si>
  <si>
    <t>TH</t>
  </si>
  <si>
    <t>F</t>
  </si>
  <si>
    <t> 2701 22nd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</si>
</sst>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18" fontId="0" fillId="4" borderId="3" xfId="0" applyNumberFormat="1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/>
    <xf numFmtId="0" fontId="4" fillId="2" borderId="1" xfId="0" applyFont="1" applyFill="1" applyBorder="1" applyAlignment="1">
      <alignment horizontal="left"/>
    </xf>
    <xf numFmtId="18" fontId="0" fillId="3" borderId="1" xfId="0" applyNumberFormat="1" applyFont="1" applyFill="1" applyBorder="1" applyAlignment="1">
      <alignment horizontal="center" vertical="center"/>
    </xf>
    <xf numFmtId="0" fontId="0" fillId="3" borderId="6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" fontId="0" fillId="4" borderId="1" xfId="0" applyNumberFormat="1" applyFont="1" applyFill="1" applyBorder="1" applyAlignment="1">
      <alignment horizontal="center" vertical="center"/>
    </xf>
    <xf numFmtId="0" fontId="0" fillId="4" borderId="6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4" fillId="2" borderId="7" xfId="0" applyFont="1" applyFill="1" applyBorder="1" applyAlignment="1"/>
    <xf numFmtId="18" fontId="0" fillId="3" borderId="8" xfId="0" applyNumberFormat="1" applyFont="1" applyFill="1" applyBorder="1" applyAlignment="1">
      <alignment horizontal="center" vertical="center"/>
    </xf>
    <xf numFmtId="0" fontId="0" fillId="3" borderId="8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/>
    </xf>
    <xf numFmtId="18" fontId="5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6" borderId="0" xfId="0" applyFill="1"/>
    <xf numFmtId="15" fontId="5" fillId="4" borderId="1" xfId="0" applyNumberFormat="1" applyFont="1" applyFill="1" applyBorder="1" applyAlignment="1">
      <alignment horizontal="center" vertical="center"/>
    </xf>
    <xf numFmtId="15" fontId="5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5" fontId="0" fillId="3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5" fontId="5" fillId="4" borderId="3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15" fontId="5" fillId="3" borderId="8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7" fillId="6" borderId="0" xfId="0" applyFont="1" applyFill="1" applyBorder="1" applyAlignment="1"/>
    <xf numFmtId="0" fontId="7" fillId="6" borderId="0" xfId="0" applyFont="1" applyFill="1" applyBorder="1" applyAlignment="1">
      <alignment horizontal="center" vertical="center"/>
    </xf>
    <xf numFmtId="15" fontId="8" fillId="6" borderId="0" xfId="0" applyNumberFormat="1" applyFont="1" applyFill="1" applyBorder="1" applyAlignment="1">
      <alignment horizontal="center" vertical="center"/>
    </xf>
    <xf numFmtId="18" fontId="0" fillId="6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/>
    </xf>
    <xf numFmtId="164" fontId="0" fillId="5" borderId="10" xfId="0" applyNumberFormat="1" applyFill="1" applyBorder="1"/>
    <xf numFmtId="0" fontId="4" fillId="2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 vertical="center"/>
    </xf>
    <xf numFmtId="15" fontId="5" fillId="0" borderId="3" xfId="0" applyNumberFormat="1" applyFont="1" applyFill="1" applyBorder="1" applyAlignment="1">
      <alignment horizontal="center" vertical="center"/>
    </xf>
    <xf numFmtId="18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15" fontId="5" fillId="0" borderId="1" xfId="0" applyNumberFormat="1" applyFont="1" applyFill="1" applyBorder="1" applyAlignment="1">
      <alignment horizontal="center" vertical="center"/>
    </xf>
    <xf numFmtId="18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18" fontId="5" fillId="0" borderId="1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5" fontId="0" fillId="0" borderId="1" xfId="0" applyNumberFormat="1" applyFont="1" applyFill="1" applyBorder="1" applyAlignment="1">
      <alignment horizontal="center" vertical="center"/>
    </xf>
    <xf numFmtId="15" fontId="5" fillId="0" borderId="8" xfId="0" applyNumberFormat="1" applyFont="1" applyFill="1" applyBorder="1" applyAlignment="1">
      <alignment horizontal="center" vertical="center"/>
    </xf>
    <xf numFmtId="18" fontId="0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0" fontId="5" fillId="0" borderId="7" xfId="0" applyFont="1" applyFill="1" applyBorder="1" applyAlignment="1"/>
    <xf numFmtId="0" fontId="5" fillId="0" borderId="8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8" xfId="0" applyFont="1" applyFill="1" applyBorder="1" applyAlignment="1"/>
    <xf numFmtId="0" fontId="5" fillId="0" borderId="8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5" fillId="0" borderId="14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center" vertical="center"/>
    </xf>
    <xf numFmtId="15" fontId="5" fillId="0" borderId="14" xfId="0" applyNumberFormat="1" applyFont="1" applyFill="1" applyBorder="1" applyAlignment="1">
      <alignment horizontal="center" vertical="center"/>
    </xf>
    <xf numFmtId="0" fontId="5" fillId="0" borderId="14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/>
    <xf numFmtId="0" fontId="5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/>
    </xf>
    <xf numFmtId="18" fontId="5" fillId="0" borderId="14" xfId="0" applyNumberFormat="1" applyFont="1" applyFill="1" applyBorder="1" applyAlignment="1">
      <alignment horizontal="center" vertical="center"/>
    </xf>
    <xf numFmtId="18" fontId="5" fillId="0" borderId="8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D7" sqref="D7"/>
    </sheetView>
  </sheetViews>
  <sheetFormatPr defaultRowHeight="14.5" x14ac:dyDescent="0.35"/>
  <cols>
    <col min="1" max="1" width="29.26953125" customWidth="1"/>
    <col min="2" max="2" width="18.90625" customWidth="1"/>
    <col min="3" max="3" width="6.26953125" customWidth="1"/>
    <col min="4" max="6" width="8.81640625" customWidth="1"/>
    <col min="7" max="11" width="3.81640625" customWidth="1"/>
    <col min="13" max="13" width="10.08984375" bestFit="1" customWidth="1"/>
  </cols>
  <sheetData>
    <row r="1" spans="1:11" s="79" customFormat="1" ht="18" customHeight="1" thickBot="1" x14ac:dyDescent="0.4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s="78" customFormat="1" ht="15" thickBot="1" x14ac:dyDescent="0.4">
      <c r="A2" s="90" t="s">
        <v>66</v>
      </c>
      <c r="B2" s="90" t="s">
        <v>67</v>
      </c>
      <c r="C2" s="90" t="s">
        <v>60</v>
      </c>
      <c r="D2" s="90" t="s">
        <v>68</v>
      </c>
      <c r="E2" s="90" t="s">
        <v>69</v>
      </c>
      <c r="F2" s="90" t="s">
        <v>70</v>
      </c>
      <c r="G2" s="90" t="s">
        <v>71</v>
      </c>
      <c r="H2" s="90" t="s">
        <v>72</v>
      </c>
      <c r="I2" s="90" t="s">
        <v>73</v>
      </c>
      <c r="J2" s="90" t="s">
        <v>74</v>
      </c>
      <c r="K2" s="90" t="s">
        <v>75</v>
      </c>
    </row>
    <row r="3" spans="1:11" s="78" customFormat="1" x14ac:dyDescent="0.35">
      <c r="A3" s="85" t="s">
        <v>27</v>
      </c>
      <c r="B3" s="81" t="s">
        <v>28</v>
      </c>
      <c r="C3" s="82">
        <v>94619</v>
      </c>
      <c r="D3" s="83">
        <v>43985</v>
      </c>
      <c r="E3" s="91">
        <v>0.58333333333333337</v>
      </c>
      <c r="F3" s="91">
        <v>0.66666666666666663</v>
      </c>
      <c r="G3" s="84"/>
      <c r="H3" s="84"/>
      <c r="I3" s="84" t="s">
        <v>2</v>
      </c>
      <c r="J3" s="84"/>
      <c r="K3" s="84"/>
    </row>
    <row r="4" spans="1:11" s="78" customFormat="1" x14ac:dyDescent="0.35">
      <c r="A4" s="71" t="s">
        <v>0</v>
      </c>
      <c r="B4" s="71" t="s">
        <v>1</v>
      </c>
      <c r="C4" s="70">
        <v>94607</v>
      </c>
      <c r="D4" s="51">
        <v>43983</v>
      </c>
      <c r="E4" s="56">
        <v>0.45833333333333331</v>
      </c>
      <c r="F4" s="56">
        <v>0.54166666666666663</v>
      </c>
      <c r="G4" s="54"/>
      <c r="H4" s="54" t="s">
        <v>2</v>
      </c>
      <c r="I4" s="54"/>
      <c r="J4" s="54"/>
      <c r="K4" s="54" t="s">
        <v>2</v>
      </c>
    </row>
    <row r="5" spans="1:11" s="78" customFormat="1" x14ac:dyDescent="0.35">
      <c r="A5" s="71" t="s">
        <v>3</v>
      </c>
      <c r="B5" s="69" t="s">
        <v>4</v>
      </c>
      <c r="C5" s="70">
        <v>94603</v>
      </c>
      <c r="D5" s="51">
        <v>43983</v>
      </c>
      <c r="E5" s="56">
        <v>0.45833333333333331</v>
      </c>
      <c r="F5" s="56">
        <v>0.54166666666666663</v>
      </c>
      <c r="G5" s="54" t="s">
        <v>2</v>
      </c>
      <c r="H5" s="54"/>
      <c r="I5" s="54"/>
      <c r="J5" s="54" t="s">
        <v>2</v>
      </c>
      <c r="K5" s="54"/>
    </row>
    <row r="6" spans="1:11" s="78" customFormat="1" x14ac:dyDescent="0.35">
      <c r="A6" s="71" t="s">
        <v>29</v>
      </c>
      <c r="B6" s="71" t="s">
        <v>30</v>
      </c>
      <c r="C6" s="70">
        <v>94607</v>
      </c>
      <c r="D6" s="51">
        <v>43992</v>
      </c>
      <c r="E6" s="56">
        <v>0.58333333333333337</v>
      </c>
      <c r="F6" s="56">
        <v>0.66666666666666663</v>
      </c>
      <c r="G6" s="54"/>
      <c r="H6" s="54"/>
      <c r="I6" s="54" t="s">
        <v>2</v>
      </c>
      <c r="J6" s="54"/>
      <c r="K6" s="54"/>
    </row>
    <row r="7" spans="1:11" s="78" customFormat="1" x14ac:dyDescent="0.35">
      <c r="A7" s="71" t="s">
        <v>31</v>
      </c>
      <c r="B7" s="69" t="s">
        <v>32</v>
      </c>
      <c r="C7" s="70">
        <v>94606</v>
      </c>
      <c r="D7" s="51">
        <v>43983</v>
      </c>
      <c r="E7" s="56">
        <v>0.58333333333333337</v>
      </c>
      <c r="F7" s="56">
        <v>0.66666666666666663</v>
      </c>
      <c r="G7" s="54"/>
      <c r="H7" s="54"/>
      <c r="I7" s="54" t="s">
        <v>2</v>
      </c>
      <c r="J7" s="54"/>
      <c r="K7" s="54"/>
    </row>
    <row r="8" spans="1:11" s="78" customFormat="1" x14ac:dyDescent="0.35">
      <c r="A8" s="71" t="s">
        <v>33</v>
      </c>
      <c r="B8" s="69" t="s">
        <v>34</v>
      </c>
      <c r="C8" s="70">
        <v>94603</v>
      </c>
      <c r="D8" s="51">
        <v>43983</v>
      </c>
      <c r="E8" s="56">
        <v>0.45833333333333331</v>
      </c>
      <c r="F8" s="56">
        <v>0.54166666666666663</v>
      </c>
      <c r="G8" s="54"/>
      <c r="H8" s="54"/>
      <c r="I8" s="54" t="s">
        <v>2</v>
      </c>
      <c r="J8" s="54"/>
      <c r="K8" s="54"/>
    </row>
    <row r="9" spans="1:11" s="78" customFormat="1" x14ac:dyDescent="0.35">
      <c r="A9" s="71" t="s">
        <v>7</v>
      </c>
      <c r="B9" s="71" t="s">
        <v>8</v>
      </c>
      <c r="C9" s="70">
        <v>94607</v>
      </c>
      <c r="D9" s="51">
        <v>43986</v>
      </c>
      <c r="E9" s="56">
        <v>0.45833333333333298</v>
      </c>
      <c r="F9" s="56">
        <v>0.54166666666666696</v>
      </c>
      <c r="G9" s="54"/>
      <c r="H9" s="54"/>
      <c r="I9" s="54"/>
      <c r="J9" s="54" t="s">
        <v>2</v>
      </c>
      <c r="K9" s="54"/>
    </row>
    <row r="10" spans="1:11" s="78" customFormat="1" x14ac:dyDescent="0.35">
      <c r="A10" s="71" t="s">
        <v>9</v>
      </c>
      <c r="B10" s="69" t="s">
        <v>10</v>
      </c>
      <c r="C10" s="70">
        <v>94601</v>
      </c>
      <c r="D10" s="51">
        <v>43984</v>
      </c>
      <c r="E10" s="56">
        <v>0.41666666666666669</v>
      </c>
      <c r="F10" s="56">
        <v>0.5</v>
      </c>
      <c r="G10" s="54"/>
      <c r="H10" s="54" t="s">
        <v>2</v>
      </c>
      <c r="I10" s="54"/>
      <c r="J10" s="54"/>
      <c r="K10" s="54" t="s">
        <v>2</v>
      </c>
    </row>
    <row r="11" spans="1:11" s="78" customFormat="1" x14ac:dyDescent="0.35">
      <c r="A11" s="71" t="s">
        <v>37</v>
      </c>
      <c r="B11" s="69" t="s">
        <v>38</v>
      </c>
      <c r="C11" s="70">
        <v>94608</v>
      </c>
      <c r="D11" s="51">
        <v>43983</v>
      </c>
      <c r="E11" s="56">
        <v>0.45833333333333331</v>
      </c>
      <c r="F11" s="56">
        <v>0.54166666666666663</v>
      </c>
      <c r="G11" s="54" t="s">
        <v>2</v>
      </c>
      <c r="H11" s="54"/>
      <c r="I11" s="54"/>
      <c r="J11" s="54" t="s">
        <v>2</v>
      </c>
      <c r="K11" s="54"/>
    </row>
    <row r="12" spans="1:11" s="78" customFormat="1" x14ac:dyDescent="0.35">
      <c r="A12" s="71" t="s">
        <v>39</v>
      </c>
      <c r="B12" s="71" t="s">
        <v>40</v>
      </c>
      <c r="C12" s="70">
        <v>94608</v>
      </c>
      <c r="D12" s="51">
        <v>43985</v>
      </c>
      <c r="E12" s="56">
        <v>0.45833333333333331</v>
      </c>
      <c r="F12" s="56">
        <v>0.54166666666666663</v>
      </c>
      <c r="G12" s="54"/>
      <c r="H12" s="54"/>
      <c r="I12" s="54" t="s">
        <v>2</v>
      </c>
      <c r="J12" s="54"/>
      <c r="K12" s="54"/>
    </row>
    <row r="13" spans="1:11" s="78" customFormat="1" ht="15" thickBot="1" x14ac:dyDescent="0.4">
      <c r="A13" s="76" t="s">
        <v>11</v>
      </c>
      <c r="B13" s="74" t="s">
        <v>12</v>
      </c>
      <c r="C13" s="77">
        <v>94612</v>
      </c>
      <c r="D13" s="61">
        <v>43985</v>
      </c>
      <c r="E13" s="92">
        <v>0.33333333333333331</v>
      </c>
      <c r="F13" s="92">
        <v>0.95833333333333337</v>
      </c>
      <c r="G13" s="64"/>
      <c r="H13" s="64"/>
      <c r="I13" s="64" t="s">
        <v>2</v>
      </c>
      <c r="J13" s="64"/>
      <c r="K13" s="64"/>
    </row>
    <row r="14" spans="1:11" s="80" customFormat="1" ht="18" customHeight="1" thickBot="1" x14ac:dyDescent="0.4">
      <c r="A14" s="89" t="s">
        <v>64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</row>
    <row r="15" spans="1:11" s="78" customFormat="1" ht="15" thickBot="1" x14ac:dyDescent="0.4">
      <c r="A15" s="90" t="s">
        <v>66</v>
      </c>
      <c r="B15" s="90" t="s">
        <v>67</v>
      </c>
      <c r="C15" s="90" t="s">
        <v>60</v>
      </c>
      <c r="D15" s="90" t="s">
        <v>68</v>
      </c>
      <c r="E15" s="90" t="s">
        <v>69</v>
      </c>
      <c r="F15" s="90" t="s">
        <v>70</v>
      </c>
      <c r="G15" s="90" t="s">
        <v>71</v>
      </c>
      <c r="H15" s="90" t="s">
        <v>72</v>
      </c>
      <c r="I15" s="90" t="s">
        <v>73</v>
      </c>
      <c r="J15" s="90" t="s">
        <v>74</v>
      </c>
      <c r="K15" s="90" t="s">
        <v>75</v>
      </c>
    </row>
    <row r="16" spans="1:11" x14ac:dyDescent="0.35">
      <c r="A16" s="85" t="s">
        <v>25</v>
      </c>
      <c r="B16" s="85" t="s">
        <v>26</v>
      </c>
      <c r="C16" s="82">
        <v>94607</v>
      </c>
      <c r="D16" s="83">
        <v>43983</v>
      </c>
      <c r="E16" s="91">
        <v>0.41666666666666669</v>
      </c>
      <c r="F16" s="91">
        <v>0.54166666666666663</v>
      </c>
      <c r="G16" s="84" t="s">
        <v>2</v>
      </c>
      <c r="H16" s="84"/>
      <c r="I16" s="84"/>
      <c r="J16" s="84" t="s">
        <v>2</v>
      </c>
      <c r="K16" s="84"/>
    </row>
    <row r="17" spans="1:11" x14ac:dyDescent="0.35">
      <c r="A17" s="71" t="s">
        <v>41</v>
      </c>
      <c r="B17" s="69" t="s">
        <v>42</v>
      </c>
      <c r="C17" s="70">
        <v>94607</v>
      </c>
      <c r="D17" s="51">
        <v>43991</v>
      </c>
      <c r="E17" s="56">
        <v>0.58333333333333337</v>
      </c>
      <c r="F17" s="56">
        <v>0.66666666666666663</v>
      </c>
      <c r="G17" s="54"/>
      <c r="H17" s="54" t="s">
        <v>2</v>
      </c>
      <c r="I17" s="54"/>
      <c r="J17" s="54" t="s">
        <v>2</v>
      </c>
      <c r="K17" s="54"/>
    </row>
    <row r="18" spans="1:11" x14ac:dyDescent="0.35">
      <c r="A18" s="71" t="s">
        <v>13</v>
      </c>
      <c r="B18" s="71" t="s">
        <v>14</v>
      </c>
      <c r="C18" s="70">
        <v>94612</v>
      </c>
      <c r="D18" s="51">
        <v>43985</v>
      </c>
      <c r="E18" s="56">
        <v>0.45833333333333331</v>
      </c>
      <c r="F18" s="56">
        <v>0.54166666666666663</v>
      </c>
      <c r="G18" s="54" t="s">
        <v>2</v>
      </c>
      <c r="H18" s="54"/>
      <c r="I18" s="54"/>
      <c r="J18" s="54"/>
      <c r="K18" s="54"/>
    </row>
    <row r="19" spans="1:11" x14ac:dyDescent="0.35">
      <c r="A19" s="71" t="s">
        <v>15</v>
      </c>
      <c r="B19" s="69" t="s">
        <v>16</v>
      </c>
      <c r="C19" s="70">
        <v>94806</v>
      </c>
      <c r="D19" s="51">
        <v>43983</v>
      </c>
      <c r="E19" s="56">
        <v>0.58333333333333337</v>
      </c>
      <c r="F19" s="56">
        <v>0.66666666666666663</v>
      </c>
      <c r="G19" s="54"/>
      <c r="H19" s="54" t="s">
        <v>2</v>
      </c>
      <c r="I19" s="54"/>
      <c r="J19" s="54"/>
      <c r="K19" s="54" t="s">
        <v>2</v>
      </c>
    </row>
    <row r="20" spans="1:11" x14ac:dyDescent="0.35">
      <c r="A20" s="71" t="s">
        <v>43</v>
      </c>
      <c r="B20" s="69" t="s">
        <v>44</v>
      </c>
      <c r="C20" s="70">
        <v>94621</v>
      </c>
      <c r="D20" s="51">
        <v>44004</v>
      </c>
      <c r="E20" s="56">
        <v>0.45833333333333331</v>
      </c>
      <c r="F20" s="56">
        <v>0.5</v>
      </c>
      <c r="G20" s="54" t="s">
        <v>2</v>
      </c>
      <c r="H20" s="54" t="s">
        <v>2</v>
      </c>
      <c r="I20" s="54" t="s">
        <v>2</v>
      </c>
      <c r="J20" s="54" t="s">
        <v>2</v>
      </c>
      <c r="K20" s="54" t="s">
        <v>2</v>
      </c>
    </row>
    <row r="21" spans="1:11" ht="12.65" customHeight="1" x14ac:dyDescent="0.35">
      <c r="A21" s="71" t="s">
        <v>45</v>
      </c>
      <c r="B21" s="71" t="s">
        <v>46</v>
      </c>
      <c r="C21" s="70">
        <v>94601</v>
      </c>
      <c r="D21" s="51">
        <v>43984</v>
      </c>
      <c r="E21" s="56">
        <v>0.58333333333333337</v>
      </c>
      <c r="F21" s="56">
        <v>0.66666666666666663</v>
      </c>
      <c r="G21" s="54"/>
      <c r="H21" s="54" t="s">
        <v>2</v>
      </c>
      <c r="I21" s="54"/>
      <c r="J21" s="54" t="s">
        <v>2</v>
      </c>
      <c r="K21" s="54"/>
    </row>
    <row r="22" spans="1:11" x14ac:dyDescent="0.35">
      <c r="A22" s="71" t="s">
        <v>17</v>
      </c>
      <c r="B22" s="71" t="s">
        <v>18</v>
      </c>
      <c r="C22" s="70">
        <v>94607</v>
      </c>
      <c r="D22" s="51">
        <v>43991</v>
      </c>
      <c r="E22" s="56">
        <v>0.41666666666666669</v>
      </c>
      <c r="F22" s="56">
        <v>0.54166666666666663</v>
      </c>
      <c r="G22" s="54" t="s">
        <v>2</v>
      </c>
      <c r="H22" s="54" t="s">
        <v>2</v>
      </c>
      <c r="I22" s="54" t="s">
        <v>2</v>
      </c>
      <c r="J22" s="54" t="s">
        <v>2</v>
      </c>
      <c r="K22" s="54" t="s">
        <v>2</v>
      </c>
    </row>
    <row r="23" spans="1:11" x14ac:dyDescent="0.35">
      <c r="A23" s="71" t="s">
        <v>19</v>
      </c>
      <c r="B23" s="69" t="s">
        <v>20</v>
      </c>
      <c r="C23" s="70">
        <v>94606</v>
      </c>
      <c r="D23" s="51">
        <v>43985</v>
      </c>
      <c r="E23" s="56">
        <v>0.58333333333333337</v>
      </c>
      <c r="F23" s="56">
        <v>0.66666666666666663</v>
      </c>
      <c r="G23" s="54"/>
      <c r="H23" s="54"/>
      <c r="I23" s="54" t="s">
        <v>2</v>
      </c>
      <c r="J23" s="54"/>
      <c r="K23" s="54"/>
    </row>
    <row r="24" spans="1:11" x14ac:dyDescent="0.35">
      <c r="A24" s="71" t="s">
        <v>21</v>
      </c>
      <c r="B24" s="69" t="s">
        <v>22</v>
      </c>
      <c r="C24" s="70">
        <v>94621</v>
      </c>
      <c r="D24" s="51">
        <v>43983</v>
      </c>
      <c r="E24" s="56">
        <v>0.45833333333333331</v>
      </c>
      <c r="F24" s="56">
        <v>0.54166666666666663</v>
      </c>
      <c r="G24" s="54" t="s">
        <v>2</v>
      </c>
      <c r="H24" s="54"/>
      <c r="I24" s="54"/>
      <c r="J24" s="54" t="s">
        <v>2</v>
      </c>
      <c r="K24" s="54"/>
    </row>
    <row r="25" spans="1:11" x14ac:dyDescent="0.35">
      <c r="A25" s="71" t="s">
        <v>47</v>
      </c>
      <c r="B25" s="71" t="s">
        <v>48</v>
      </c>
      <c r="C25" s="70">
        <v>94621</v>
      </c>
      <c r="D25" s="51">
        <v>43984</v>
      </c>
      <c r="E25" s="56">
        <v>0.45833333333333331</v>
      </c>
      <c r="F25" s="56">
        <v>0.54166666666666663</v>
      </c>
      <c r="G25" s="54"/>
      <c r="H25" s="54" t="s">
        <v>2</v>
      </c>
      <c r="I25" s="54"/>
      <c r="J25" s="54" t="s">
        <v>2</v>
      </c>
      <c r="K25" s="54"/>
    </row>
    <row r="26" spans="1:11" ht="15" customHeight="1" x14ac:dyDescent="0.35">
      <c r="A26" s="71" t="s">
        <v>35</v>
      </c>
      <c r="B26" s="71" t="s">
        <v>36</v>
      </c>
      <c r="C26" s="70">
        <v>94608</v>
      </c>
      <c r="D26" s="51">
        <v>43990</v>
      </c>
      <c r="E26" s="56">
        <v>0.58333333333333337</v>
      </c>
      <c r="F26" s="56">
        <v>0.66666666666666663</v>
      </c>
      <c r="G26" s="54" t="s">
        <v>2</v>
      </c>
      <c r="H26" s="54"/>
      <c r="I26" s="54"/>
      <c r="J26" s="54" t="s">
        <v>2</v>
      </c>
      <c r="K26" s="54"/>
    </row>
    <row r="27" spans="1:11" x14ac:dyDescent="0.35">
      <c r="A27" s="71" t="s">
        <v>65</v>
      </c>
      <c r="B27" s="69" t="s">
        <v>50</v>
      </c>
      <c r="C27" s="70">
        <v>94607</v>
      </c>
      <c r="D27" s="51">
        <v>43991</v>
      </c>
      <c r="E27" s="56">
        <v>0.58333333333333337</v>
      </c>
      <c r="F27" s="56">
        <v>0.66666666666666663</v>
      </c>
      <c r="G27" s="54" t="s">
        <v>2</v>
      </c>
      <c r="H27" s="54"/>
      <c r="I27" s="54"/>
      <c r="J27" s="54" t="s">
        <v>2</v>
      </c>
      <c r="K27" s="54"/>
    </row>
    <row r="28" spans="1:11" x14ac:dyDescent="0.35">
      <c r="A28" s="71" t="s">
        <v>51</v>
      </c>
      <c r="B28" s="71" t="s">
        <v>52</v>
      </c>
      <c r="C28" s="70">
        <v>94603</v>
      </c>
      <c r="D28" s="51">
        <v>44000</v>
      </c>
      <c r="E28" s="56">
        <v>0.58333333333333337</v>
      </c>
      <c r="F28" s="56">
        <v>0.66666666666666663</v>
      </c>
      <c r="G28" s="54"/>
      <c r="H28" s="54" t="s">
        <v>2</v>
      </c>
      <c r="I28" s="54"/>
      <c r="J28" s="54" t="s">
        <v>2</v>
      </c>
      <c r="K28" s="54"/>
    </row>
    <row r="29" spans="1:11" x14ac:dyDescent="0.35">
      <c r="A29" s="71" t="s">
        <v>53</v>
      </c>
      <c r="B29" s="69" t="s">
        <v>54</v>
      </c>
      <c r="C29" s="70">
        <v>94806</v>
      </c>
      <c r="D29" s="51">
        <v>43990</v>
      </c>
      <c r="E29" s="56">
        <v>0.58333333333333337</v>
      </c>
      <c r="F29" s="56">
        <v>0.66666666666666663</v>
      </c>
      <c r="G29" s="54" t="s">
        <v>2</v>
      </c>
      <c r="H29" s="54"/>
      <c r="I29" s="54"/>
      <c r="J29" s="54" t="s">
        <v>2</v>
      </c>
      <c r="K29" s="54"/>
    </row>
    <row r="30" spans="1:11" x14ac:dyDescent="0.35">
      <c r="A30" s="71" t="s">
        <v>55</v>
      </c>
      <c r="B30" s="69" t="s">
        <v>56</v>
      </c>
      <c r="C30" s="70">
        <v>94612</v>
      </c>
      <c r="D30" s="51">
        <v>43984</v>
      </c>
      <c r="E30" s="56">
        <v>0.45833333333333331</v>
      </c>
      <c r="F30" s="56">
        <v>0.54166666666666663</v>
      </c>
      <c r="G30" s="54"/>
      <c r="H30" s="54" t="s">
        <v>2</v>
      </c>
      <c r="I30" s="54"/>
      <c r="J30" s="54" t="s">
        <v>2</v>
      </c>
      <c r="K30" s="54"/>
    </row>
    <row r="31" spans="1:11" x14ac:dyDescent="0.35">
      <c r="A31" s="71" t="s">
        <v>57</v>
      </c>
      <c r="B31" s="71" t="s">
        <v>58</v>
      </c>
      <c r="C31" s="70">
        <v>94605</v>
      </c>
      <c r="D31" s="51">
        <v>43984</v>
      </c>
      <c r="E31" s="56">
        <v>0.58333333333333337</v>
      </c>
      <c r="F31" s="56">
        <v>0.66666666666666663</v>
      </c>
      <c r="G31" s="54"/>
      <c r="H31" s="54" t="s">
        <v>2</v>
      </c>
      <c r="I31" s="54"/>
      <c r="J31" s="54" t="s">
        <v>2</v>
      </c>
      <c r="K31" s="54"/>
    </row>
    <row r="32" spans="1:11" x14ac:dyDescent="0.35">
      <c r="A32" s="71" t="s">
        <v>23</v>
      </c>
      <c r="B32" s="71" t="s">
        <v>76</v>
      </c>
      <c r="C32" s="70">
        <v>94606</v>
      </c>
      <c r="D32" s="51">
        <v>43985</v>
      </c>
      <c r="E32" s="56">
        <v>0.45833333333333331</v>
      </c>
      <c r="F32" s="56">
        <v>0.54166666666666663</v>
      </c>
      <c r="G32" s="54"/>
      <c r="H32" s="54"/>
      <c r="I32" s="54" t="s">
        <v>2</v>
      </c>
      <c r="J32" s="54"/>
      <c r="K32" s="54"/>
    </row>
  </sheetData>
  <mergeCells count="2">
    <mergeCell ref="A14:K14"/>
    <mergeCell ref="A1:K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workbookViewId="0">
      <selection activeCell="O25" sqref="O25"/>
    </sheetView>
  </sheetViews>
  <sheetFormatPr defaultRowHeight="14.5" x14ac:dyDescent="0.35"/>
  <cols>
    <col min="1" max="1" width="34.54296875" customWidth="1"/>
    <col min="2" max="2" width="21.90625" customWidth="1"/>
    <col min="8" max="12" width="11.81640625" customWidth="1"/>
    <col min="14" max="14" width="10.08984375" bestFit="1" customWidth="1"/>
  </cols>
  <sheetData>
    <row r="1" spans="1:12" x14ac:dyDescent="0.35">
      <c r="A1" s="66" t="s">
        <v>27</v>
      </c>
      <c r="B1" s="75" t="s">
        <v>28</v>
      </c>
      <c r="C1" s="67">
        <v>94619</v>
      </c>
      <c r="D1" s="46">
        <v>43985</v>
      </c>
      <c r="E1" s="47">
        <v>0.58333333333333337</v>
      </c>
      <c r="F1" s="47">
        <v>0.66666666666666663</v>
      </c>
      <c r="G1" s="48">
        <v>50</v>
      </c>
      <c r="H1" s="49"/>
      <c r="I1" s="48"/>
      <c r="J1" s="48">
        <f>G1*6</f>
        <v>300</v>
      </c>
      <c r="K1" s="48"/>
      <c r="L1" s="50"/>
    </row>
    <row r="2" spans="1:12" x14ac:dyDescent="0.35">
      <c r="A2" s="68" t="s">
        <v>0</v>
      </c>
      <c r="B2" s="71" t="s">
        <v>1</v>
      </c>
      <c r="C2" s="70">
        <v>94607</v>
      </c>
      <c r="D2" s="51">
        <v>43983</v>
      </c>
      <c r="E2" s="52">
        <v>0.45833333333333331</v>
      </c>
      <c r="F2" s="52">
        <v>0.54166666666666663</v>
      </c>
      <c r="G2" s="53">
        <v>200</v>
      </c>
      <c r="H2" s="54"/>
      <c r="I2" s="53">
        <f>G2*6</f>
        <v>1200</v>
      </c>
      <c r="J2" s="53"/>
      <c r="K2" s="53"/>
      <c r="L2" s="55">
        <f>G2*2</f>
        <v>400</v>
      </c>
    </row>
    <row r="3" spans="1:12" x14ac:dyDescent="0.35">
      <c r="A3" s="68" t="s">
        <v>3</v>
      </c>
      <c r="B3" s="69" t="s">
        <v>4</v>
      </c>
      <c r="C3" s="70">
        <v>94603</v>
      </c>
      <c r="D3" s="51">
        <v>43983</v>
      </c>
      <c r="E3" s="52">
        <v>0.45833333333333331</v>
      </c>
      <c r="F3" s="52">
        <v>0.54166666666666663</v>
      </c>
      <c r="G3" s="53">
        <v>400</v>
      </c>
      <c r="H3" s="54">
        <f>G3*6</f>
        <v>2400</v>
      </c>
      <c r="I3" s="53"/>
      <c r="J3" s="53"/>
      <c r="K3" s="53">
        <f>G3*4</f>
        <v>1600</v>
      </c>
      <c r="L3" s="55"/>
    </row>
    <row r="4" spans="1:12" x14ac:dyDescent="0.35">
      <c r="A4" s="68" t="s">
        <v>29</v>
      </c>
      <c r="B4" s="71" t="s">
        <v>30</v>
      </c>
      <c r="C4" s="70">
        <v>94607</v>
      </c>
      <c r="D4" s="51">
        <v>43992</v>
      </c>
      <c r="E4" s="52">
        <v>0.58333333333333337</v>
      </c>
      <c r="F4" s="52">
        <v>0.66666666666666663</v>
      </c>
      <c r="G4" s="53">
        <v>200</v>
      </c>
      <c r="H4" s="54"/>
      <c r="I4" s="53"/>
      <c r="J4" s="53">
        <f>G4*6</f>
        <v>1200</v>
      </c>
      <c r="K4" s="53"/>
      <c r="L4" s="57"/>
    </row>
    <row r="5" spans="1:12" x14ac:dyDescent="0.35">
      <c r="A5" s="68" t="s">
        <v>31</v>
      </c>
      <c r="B5" s="69" t="s">
        <v>32</v>
      </c>
      <c r="C5" s="70">
        <v>94606</v>
      </c>
      <c r="D5" s="51">
        <v>43983</v>
      </c>
      <c r="E5" s="52">
        <v>0.58333333333333337</v>
      </c>
      <c r="F5" s="52">
        <v>0.66666666666666663</v>
      </c>
      <c r="G5" s="53">
        <v>75</v>
      </c>
      <c r="H5" s="54"/>
      <c r="I5" s="53"/>
      <c r="J5" s="53">
        <f>G5*6</f>
        <v>450</v>
      </c>
      <c r="K5" s="53"/>
      <c r="L5" s="55"/>
    </row>
    <row r="6" spans="1:12" x14ac:dyDescent="0.35">
      <c r="A6" s="68" t="s">
        <v>33</v>
      </c>
      <c r="B6" s="69" t="s">
        <v>34</v>
      </c>
      <c r="C6" s="72">
        <v>94603</v>
      </c>
      <c r="D6" s="51">
        <v>43983</v>
      </c>
      <c r="E6" s="52">
        <v>0.45833333333333331</v>
      </c>
      <c r="F6" s="52">
        <v>0.54166666666666663</v>
      </c>
      <c r="G6" s="53">
        <v>75</v>
      </c>
      <c r="H6" s="54"/>
      <c r="I6" s="53"/>
      <c r="J6" s="53">
        <f>G6*6</f>
        <v>450</v>
      </c>
      <c r="K6" s="53"/>
      <c r="L6" s="55"/>
    </row>
    <row r="7" spans="1:12" x14ac:dyDescent="0.35">
      <c r="A7" s="68" t="s">
        <v>7</v>
      </c>
      <c r="B7" s="71" t="s">
        <v>8</v>
      </c>
      <c r="C7" s="70">
        <v>94607</v>
      </c>
      <c r="D7" s="51">
        <v>43986</v>
      </c>
      <c r="E7" s="52">
        <v>0.45833333333333298</v>
      </c>
      <c r="F7" s="52">
        <v>0.54166666666666696</v>
      </c>
      <c r="G7" s="53">
        <v>500</v>
      </c>
      <c r="H7" s="54"/>
      <c r="I7" s="53"/>
      <c r="J7" s="53"/>
      <c r="K7" s="53">
        <f>G7*4</f>
        <v>2000</v>
      </c>
      <c r="L7" s="55"/>
    </row>
    <row r="8" spans="1:12" x14ac:dyDescent="0.35">
      <c r="A8" s="68" t="s">
        <v>9</v>
      </c>
      <c r="B8" s="69" t="s">
        <v>10</v>
      </c>
      <c r="C8" s="70">
        <v>94601</v>
      </c>
      <c r="D8" s="51">
        <v>43984</v>
      </c>
      <c r="E8" s="52">
        <v>0.41666666666666669</v>
      </c>
      <c r="F8" s="52">
        <v>0.5</v>
      </c>
      <c r="G8" s="53">
        <v>200</v>
      </c>
      <c r="H8" s="54"/>
      <c r="I8" s="53">
        <f>G8*6</f>
        <v>1200</v>
      </c>
      <c r="J8" s="53"/>
      <c r="K8" s="53"/>
      <c r="L8" s="55">
        <f>G8*2</f>
        <v>400</v>
      </c>
    </row>
    <row r="9" spans="1:12" x14ac:dyDescent="0.35">
      <c r="A9" s="68" t="s">
        <v>37</v>
      </c>
      <c r="B9" s="69" t="s">
        <v>38</v>
      </c>
      <c r="C9" s="70">
        <v>94608</v>
      </c>
      <c r="D9" s="51">
        <v>43983</v>
      </c>
      <c r="E9" s="52">
        <v>0.45833333333333331</v>
      </c>
      <c r="F9" s="52">
        <v>0.54166666666666663</v>
      </c>
      <c r="G9" s="53">
        <v>100</v>
      </c>
      <c r="H9" s="54">
        <f>G9*6</f>
        <v>600</v>
      </c>
      <c r="I9" s="53"/>
      <c r="J9" s="53"/>
      <c r="K9" s="53">
        <f>G9*4</f>
        <v>400</v>
      </c>
      <c r="L9" s="55"/>
    </row>
    <row r="10" spans="1:12" x14ac:dyDescent="0.35">
      <c r="A10" s="68" t="s">
        <v>39</v>
      </c>
      <c r="B10" s="71" t="s">
        <v>40</v>
      </c>
      <c r="C10" s="70">
        <v>94608</v>
      </c>
      <c r="D10" s="60">
        <v>43985</v>
      </c>
      <c r="E10" s="52">
        <v>0.45833333333333331</v>
      </c>
      <c r="F10" s="52">
        <v>0.54166666666666663</v>
      </c>
      <c r="G10" s="53">
        <v>60</v>
      </c>
      <c r="H10" s="53"/>
      <c r="I10" s="53"/>
      <c r="J10" s="53">
        <f>G10*6</f>
        <v>360</v>
      </c>
      <c r="K10" s="53"/>
      <c r="L10" s="57"/>
    </row>
    <row r="11" spans="1:12" x14ac:dyDescent="0.35">
      <c r="A11" s="68" t="s">
        <v>11</v>
      </c>
      <c r="B11" s="69" t="s">
        <v>12</v>
      </c>
      <c r="C11" s="72">
        <v>94612</v>
      </c>
      <c r="D11" s="51">
        <v>43985</v>
      </c>
      <c r="E11" s="52">
        <v>0.33333333333333331</v>
      </c>
      <c r="F11" s="52">
        <v>0.95833333333333337</v>
      </c>
      <c r="G11" s="53">
        <v>150</v>
      </c>
      <c r="H11" s="54"/>
      <c r="I11" s="53"/>
      <c r="J11" s="53">
        <f>G11*6</f>
        <v>900</v>
      </c>
      <c r="K11" s="53"/>
      <c r="L11" s="55"/>
    </row>
    <row r="12" spans="1:12" x14ac:dyDescent="0.35">
      <c r="A12" s="86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2" x14ac:dyDescent="0.35">
      <c r="A13" s="68" t="s">
        <v>25</v>
      </c>
      <c r="B13" s="71" t="s">
        <v>26</v>
      </c>
      <c r="C13" s="70">
        <v>94607</v>
      </c>
      <c r="D13" s="51">
        <v>43983</v>
      </c>
      <c r="E13" s="52">
        <v>0.41666666666666669</v>
      </c>
      <c r="F13" s="52">
        <v>0.54166666666666663</v>
      </c>
      <c r="G13" s="53">
        <v>300</v>
      </c>
      <c r="H13" s="54">
        <f>G13*6</f>
        <v>1800</v>
      </c>
      <c r="I13" s="53"/>
      <c r="J13" s="53"/>
      <c r="K13" s="53">
        <f>G13*4</f>
        <v>1200</v>
      </c>
      <c r="L13" s="55"/>
    </row>
    <row r="14" spans="1:12" x14ac:dyDescent="0.35">
      <c r="A14" s="68" t="s">
        <v>41</v>
      </c>
      <c r="B14" s="69" t="s">
        <v>42</v>
      </c>
      <c r="C14" s="70">
        <v>94607</v>
      </c>
      <c r="D14" s="51">
        <v>43991</v>
      </c>
      <c r="E14" s="52">
        <v>0.58333333333333337</v>
      </c>
      <c r="F14" s="52">
        <v>0.66666666666666663</v>
      </c>
      <c r="G14" s="53">
        <v>100</v>
      </c>
      <c r="H14" s="54"/>
      <c r="I14" s="53" t="s">
        <v>2</v>
      </c>
      <c r="J14" s="53"/>
      <c r="K14" s="53" t="s">
        <v>2</v>
      </c>
      <c r="L14" s="55"/>
    </row>
    <row r="15" spans="1:12" x14ac:dyDescent="0.35">
      <c r="A15" s="68" t="s">
        <v>13</v>
      </c>
      <c r="B15" s="71" t="s">
        <v>14</v>
      </c>
      <c r="C15" s="70">
        <v>94612</v>
      </c>
      <c r="D15" s="51">
        <v>43985</v>
      </c>
      <c r="E15" s="52">
        <v>0.45833333333333331</v>
      </c>
      <c r="F15" s="52">
        <v>0.54166666666666663</v>
      </c>
      <c r="G15" s="53">
        <v>100</v>
      </c>
      <c r="H15" s="54">
        <f>G15*6</f>
        <v>600</v>
      </c>
      <c r="I15" s="53"/>
      <c r="J15" s="53"/>
      <c r="K15" s="53"/>
      <c r="L15" s="55"/>
    </row>
    <row r="16" spans="1:12" x14ac:dyDescent="0.35">
      <c r="A16" s="68" t="s">
        <v>15</v>
      </c>
      <c r="B16" s="69" t="s">
        <v>16</v>
      </c>
      <c r="C16" s="70">
        <v>94806</v>
      </c>
      <c r="D16" s="51">
        <v>43983</v>
      </c>
      <c r="E16" s="52">
        <v>0.58333333333333337</v>
      </c>
      <c r="F16" s="52">
        <v>0.66666666666666663</v>
      </c>
      <c r="G16" s="53">
        <v>200</v>
      </c>
      <c r="H16" s="54"/>
      <c r="I16" s="53">
        <f>G16*6</f>
        <v>1200</v>
      </c>
      <c r="J16" s="53"/>
      <c r="K16" s="53"/>
      <c r="L16" s="55">
        <f>G16*2</f>
        <v>400</v>
      </c>
    </row>
    <row r="17" spans="1:12" x14ac:dyDescent="0.35">
      <c r="A17" s="68" t="s">
        <v>43</v>
      </c>
      <c r="B17" s="69" t="s">
        <v>44</v>
      </c>
      <c r="C17" s="70">
        <v>94621</v>
      </c>
      <c r="D17" s="51">
        <v>44004</v>
      </c>
      <c r="E17" s="52">
        <v>0.45833333333333331</v>
      </c>
      <c r="F17" s="52">
        <v>0.5</v>
      </c>
      <c r="G17" s="53">
        <v>110</v>
      </c>
      <c r="H17" s="54" t="s">
        <v>2</v>
      </c>
      <c r="I17" s="53" t="s">
        <v>2</v>
      </c>
      <c r="J17" s="53" t="s">
        <v>2</v>
      </c>
      <c r="K17" s="53" t="s">
        <v>2</v>
      </c>
      <c r="L17" s="55" t="s">
        <v>2</v>
      </c>
    </row>
    <row r="18" spans="1:12" ht="12.65" customHeight="1" x14ac:dyDescent="0.35">
      <c r="A18" s="68" t="s">
        <v>45</v>
      </c>
      <c r="B18" s="71" t="s">
        <v>46</v>
      </c>
      <c r="C18" s="70">
        <v>94601</v>
      </c>
      <c r="D18" s="51">
        <v>43984</v>
      </c>
      <c r="E18" s="56">
        <v>0.58333333333333337</v>
      </c>
      <c r="F18" s="56">
        <v>0.66666666666666663</v>
      </c>
      <c r="G18" s="53">
        <v>175</v>
      </c>
      <c r="H18" s="54"/>
      <c r="I18" s="54">
        <f>G18*4</f>
        <v>700</v>
      </c>
      <c r="J18" s="54"/>
      <c r="K18" s="53">
        <f>G18*4</f>
        <v>700</v>
      </c>
      <c r="L18" s="55"/>
    </row>
    <row r="19" spans="1:12" x14ac:dyDescent="0.35">
      <c r="A19" s="68" t="s">
        <v>17</v>
      </c>
      <c r="B19" s="71" t="s">
        <v>18</v>
      </c>
      <c r="C19" s="70">
        <v>94607</v>
      </c>
      <c r="D19" s="51">
        <v>43991</v>
      </c>
      <c r="E19" s="52">
        <v>0.41666666666666669</v>
      </c>
      <c r="F19" s="52">
        <v>0.54166666666666663</v>
      </c>
      <c r="G19" s="53">
        <v>55</v>
      </c>
      <c r="H19" s="54" t="s">
        <v>2</v>
      </c>
      <c r="I19" s="53" t="s">
        <v>2</v>
      </c>
      <c r="J19" s="53" t="s">
        <v>2</v>
      </c>
      <c r="K19" s="53" t="s">
        <v>2</v>
      </c>
      <c r="L19" s="55" t="s">
        <v>2</v>
      </c>
    </row>
    <row r="20" spans="1:12" x14ac:dyDescent="0.35">
      <c r="A20" s="68" t="s">
        <v>19</v>
      </c>
      <c r="B20" s="69" t="s">
        <v>20</v>
      </c>
      <c r="C20" s="70">
        <v>94606</v>
      </c>
      <c r="D20" s="51">
        <v>43985</v>
      </c>
      <c r="E20" s="52">
        <v>0.58333333333333337</v>
      </c>
      <c r="F20" s="52">
        <v>0.66666666666666663</v>
      </c>
      <c r="G20" s="53">
        <v>150</v>
      </c>
      <c r="H20" s="54"/>
      <c r="I20" s="53"/>
      <c r="J20" s="53" t="s">
        <v>2</v>
      </c>
      <c r="K20" s="53"/>
      <c r="L20" s="55"/>
    </row>
    <row r="21" spans="1:12" x14ac:dyDescent="0.35">
      <c r="A21" s="68" t="s">
        <v>21</v>
      </c>
      <c r="B21" s="69" t="s">
        <v>22</v>
      </c>
      <c r="C21" s="70">
        <v>94621</v>
      </c>
      <c r="D21" s="51">
        <v>43983</v>
      </c>
      <c r="E21" s="52">
        <v>0.45833333333333331</v>
      </c>
      <c r="F21" s="52">
        <v>0.54166666666666663</v>
      </c>
      <c r="G21" s="53">
        <v>100</v>
      </c>
      <c r="H21" s="54">
        <f>G21*6</f>
        <v>600</v>
      </c>
      <c r="I21" s="53"/>
      <c r="J21" s="53"/>
      <c r="K21" s="53">
        <v>400</v>
      </c>
      <c r="L21" s="55"/>
    </row>
    <row r="22" spans="1:12" x14ac:dyDescent="0.35">
      <c r="A22" s="68" t="s">
        <v>47</v>
      </c>
      <c r="B22" s="71" t="s">
        <v>48</v>
      </c>
      <c r="C22" s="70">
        <v>94621</v>
      </c>
      <c r="D22" s="51">
        <v>43984</v>
      </c>
      <c r="E22" s="52">
        <v>0.45833333333333331</v>
      </c>
      <c r="F22" s="52">
        <v>0.54166666666666663</v>
      </c>
      <c r="G22" s="53">
        <v>100</v>
      </c>
      <c r="H22" s="54"/>
      <c r="I22" s="53" t="s">
        <v>2</v>
      </c>
      <c r="J22" s="53"/>
      <c r="K22" s="53" t="s">
        <v>2</v>
      </c>
      <c r="L22" s="55"/>
    </row>
    <row r="23" spans="1:12" ht="15" customHeight="1" x14ac:dyDescent="0.35">
      <c r="A23" s="68" t="s">
        <v>35</v>
      </c>
      <c r="B23" s="71" t="s">
        <v>36</v>
      </c>
      <c r="C23" s="70">
        <v>94608</v>
      </c>
      <c r="D23" s="51">
        <v>43990</v>
      </c>
      <c r="E23" s="52">
        <v>0.58333333333333337</v>
      </c>
      <c r="F23" s="52">
        <v>0.66666666666666663</v>
      </c>
      <c r="G23" s="53">
        <v>100</v>
      </c>
      <c r="H23" s="54" t="s">
        <v>2</v>
      </c>
      <c r="I23" s="53"/>
      <c r="J23" s="53"/>
      <c r="K23" s="53" t="s">
        <v>2</v>
      </c>
      <c r="L23" s="55"/>
    </row>
    <row r="24" spans="1:12" x14ac:dyDescent="0.35">
      <c r="A24" s="68" t="s">
        <v>49</v>
      </c>
      <c r="B24" s="69" t="s">
        <v>50</v>
      </c>
      <c r="C24" s="70">
        <v>94607</v>
      </c>
      <c r="D24" s="51">
        <v>43991</v>
      </c>
      <c r="E24" s="52">
        <v>0.58333333333333337</v>
      </c>
      <c r="F24" s="52">
        <v>0.66666666666666663</v>
      </c>
      <c r="G24" s="53">
        <v>200</v>
      </c>
      <c r="H24" s="54" t="s">
        <v>2</v>
      </c>
      <c r="I24" s="53"/>
      <c r="J24" s="53"/>
      <c r="K24" s="53" t="s">
        <v>2</v>
      </c>
      <c r="L24" s="55"/>
    </row>
    <row r="25" spans="1:12" x14ac:dyDescent="0.35">
      <c r="A25" s="68" t="s">
        <v>51</v>
      </c>
      <c r="B25" s="71" t="s">
        <v>52</v>
      </c>
      <c r="C25" s="70">
        <v>94603</v>
      </c>
      <c r="D25" s="51">
        <v>44000</v>
      </c>
      <c r="E25" s="52">
        <v>0.58333333333333337</v>
      </c>
      <c r="F25" s="52">
        <v>0.66666666666666663</v>
      </c>
      <c r="G25" s="53">
        <v>100</v>
      </c>
      <c r="H25" s="54"/>
      <c r="I25" s="53" t="s">
        <v>2</v>
      </c>
      <c r="J25" s="53"/>
      <c r="K25" s="53" t="s">
        <v>2</v>
      </c>
      <c r="L25" s="55"/>
    </row>
    <row r="26" spans="1:12" x14ac:dyDescent="0.35">
      <c r="A26" s="68" t="s">
        <v>53</v>
      </c>
      <c r="B26" s="69" t="s">
        <v>54</v>
      </c>
      <c r="C26" s="70">
        <v>94806</v>
      </c>
      <c r="D26" s="51">
        <v>43990</v>
      </c>
      <c r="E26" s="52">
        <v>0.58333333333333337</v>
      </c>
      <c r="F26" s="52">
        <v>0.66666666666666663</v>
      </c>
      <c r="G26" s="53">
        <v>100</v>
      </c>
      <c r="H26" s="54" t="s">
        <v>2</v>
      </c>
      <c r="I26" s="53"/>
      <c r="J26" s="53"/>
      <c r="K26" s="53" t="s">
        <v>2</v>
      </c>
      <c r="L26" s="55"/>
    </row>
    <row r="27" spans="1:12" x14ac:dyDescent="0.35">
      <c r="A27" s="68" t="s">
        <v>55</v>
      </c>
      <c r="B27" s="69" t="s">
        <v>56</v>
      </c>
      <c r="C27" s="72">
        <v>94612</v>
      </c>
      <c r="D27" s="51">
        <v>43984</v>
      </c>
      <c r="E27" s="52">
        <v>0.45833333333333331</v>
      </c>
      <c r="F27" s="52">
        <v>0.54166666666666663</v>
      </c>
      <c r="G27" s="53">
        <v>175</v>
      </c>
      <c r="H27" s="54"/>
      <c r="I27" s="53">
        <f>G27*6</f>
        <v>1050</v>
      </c>
      <c r="J27" s="53"/>
      <c r="K27" s="53">
        <f>G27*2</f>
        <v>350</v>
      </c>
      <c r="L27" s="55"/>
    </row>
    <row r="28" spans="1:12" x14ac:dyDescent="0.35">
      <c r="A28" s="68" t="s">
        <v>57</v>
      </c>
      <c r="B28" s="71" t="s">
        <v>58</v>
      </c>
      <c r="C28" s="70">
        <v>94605</v>
      </c>
      <c r="D28" s="51">
        <v>43984</v>
      </c>
      <c r="E28" s="52">
        <v>0.58333333333333337</v>
      </c>
      <c r="F28" s="52">
        <v>0.66666666666666663</v>
      </c>
      <c r="G28" s="53">
        <v>150</v>
      </c>
      <c r="H28" s="54"/>
      <c r="I28" s="53">
        <f>G28*6</f>
        <v>900</v>
      </c>
      <c r="J28" s="53"/>
      <c r="K28" s="53">
        <f>G28*2</f>
        <v>300</v>
      </c>
      <c r="L28" s="55"/>
    </row>
    <row r="29" spans="1:12" ht="15" thickBot="1" x14ac:dyDescent="0.4">
      <c r="A29" s="73" t="s">
        <v>23</v>
      </c>
      <c r="B29" s="76" t="s">
        <v>59</v>
      </c>
      <c r="C29" s="77">
        <v>94606</v>
      </c>
      <c r="D29" s="61">
        <v>43985</v>
      </c>
      <c r="E29" s="62">
        <v>0.45833333333333331</v>
      </c>
      <c r="F29" s="62">
        <v>0.54166666666666663</v>
      </c>
      <c r="G29" s="63">
        <v>70</v>
      </c>
      <c r="H29" s="64">
        <v>0</v>
      </c>
      <c r="I29" s="63">
        <v>0</v>
      </c>
      <c r="J29" s="63">
        <f>G29*6</f>
        <v>420</v>
      </c>
      <c r="K29" s="63">
        <v>0</v>
      </c>
      <c r="L29" s="65">
        <v>0</v>
      </c>
    </row>
  </sheetData>
  <mergeCells count="1">
    <mergeCell ref="A12:L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selection activeCell="A20" sqref="A20:XFD20"/>
    </sheetView>
  </sheetViews>
  <sheetFormatPr defaultRowHeight="14.5" x14ac:dyDescent="0.35"/>
  <cols>
    <col min="2" max="2" width="34.54296875" customWidth="1"/>
    <col min="3" max="3" width="21.90625" customWidth="1"/>
    <col min="9" max="13" width="11.81640625" customWidth="1"/>
    <col min="15" max="15" width="10.08984375" bestFit="1" customWidth="1"/>
  </cols>
  <sheetData>
    <row r="1" spans="1:13" x14ac:dyDescent="0.35">
      <c r="A1" t="s">
        <v>62</v>
      </c>
      <c r="B1" s="66" t="s">
        <v>27</v>
      </c>
      <c r="C1" s="75" t="s">
        <v>28</v>
      </c>
      <c r="D1" s="67">
        <v>94619</v>
      </c>
      <c r="E1" s="46">
        <v>43985</v>
      </c>
      <c r="F1" s="47">
        <v>0.58333333333333337</v>
      </c>
      <c r="G1" s="47">
        <v>0.66666666666666663</v>
      </c>
      <c r="H1" s="48">
        <v>50</v>
      </c>
      <c r="I1" s="49"/>
      <c r="J1" s="48"/>
      <c r="K1" s="48">
        <f>H1*6</f>
        <v>300</v>
      </c>
      <c r="L1" s="48"/>
      <c r="M1" s="50"/>
    </row>
    <row r="2" spans="1:13" x14ac:dyDescent="0.35">
      <c r="A2" t="s">
        <v>62</v>
      </c>
      <c r="B2" s="68" t="s">
        <v>0</v>
      </c>
      <c r="C2" s="71" t="s">
        <v>1</v>
      </c>
      <c r="D2" s="70">
        <v>94607</v>
      </c>
      <c r="E2" s="51">
        <v>43983</v>
      </c>
      <c r="F2" s="52">
        <v>0.45833333333333331</v>
      </c>
      <c r="G2" s="52">
        <v>0.54166666666666663</v>
      </c>
      <c r="H2" s="53">
        <v>200</v>
      </c>
      <c r="I2" s="54"/>
      <c r="J2" s="53">
        <f>H2*6</f>
        <v>1200</v>
      </c>
      <c r="K2" s="53"/>
      <c r="L2" s="53" t="s">
        <v>2</v>
      </c>
      <c r="M2" s="55">
        <f>H2*2</f>
        <v>400</v>
      </c>
    </row>
    <row r="3" spans="1:13" x14ac:dyDescent="0.35">
      <c r="A3" t="s">
        <v>62</v>
      </c>
      <c r="B3" s="68" t="s">
        <v>3</v>
      </c>
      <c r="C3" s="69" t="s">
        <v>4</v>
      </c>
      <c r="D3" s="70">
        <v>94603</v>
      </c>
      <c r="E3" s="51">
        <v>43983</v>
      </c>
      <c r="F3" s="52">
        <v>0.45833333333333331</v>
      </c>
      <c r="G3" s="52">
        <v>0.54166666666666663</v>
      </c>
      <c r="H3" s="53">
        <v>400</v>
      </c>
      <c r="I3" s="54">
        <f>H3*6</f>
        <v>2400</v>
      </c>
      <c r="J3" s="53"/>
      <c r="K3" s="53"/>
      <c r="L3" s="53">
        <f>H3*4</f>
        <v>1600</v>
      </c>
      <c r="M3" s="55"/>
    </row>
    <row r="4" spans="1:13" x14ac:dyDescent="0.35">
      <c r="A4" t="s">
        <v>62</v>
      </c>
      <c r="B4" s="68" t="s">
        <v>29</v>
      </c>
      <c r="C4" s="71" t="s">
        <v>30</v>
      </c>
      <c r="D4" s="70">
        <v>94607</v>
      </c>
      <c r="E4" s="51">
        <v>43992</v>
      </c>
      <c r="F4" s="52" t="s">
        <v>6</v>
      </c>
      <c r="G4" s="52" t="s">
        <v>6</v>
      </c>
      <c r="H4" s="53">
        <v>200</v>
      </c>
      <c r="I4" s="54"/>
      <c r="J4" s="53"/>
      <c r="K4" s="53" t="s">
        <v>2</v>
      </c>
      <c r="L4" s="53"/>
      <c r="M4" s="57"/>
    </row>
    <row r="5" spans="1:13" x14ac:dyDescent="0.35">
      <c r="A5" t="s">
        <v>62</v>
      </c>
      <c r="B5" s="68" t="s">
        <v>31</v>
      </c>
      <c r="C5" s="69" t="s">
        <v>32</v>
      </c>
      <c r="D5" s="70">
        <v>94606</v>
      </c>
      <c r="E5" s="51">
        <v>43983</v>
      </c>
      <c r="F5" s="52">
        <v>0.58333333333333337</v>
      </c>
      <c r="G5" s="52">
        <v>0.66666666666666663</v>
      </c>
      <c r="H5" s="53">
        <v>75</v>
      </c>
      <c r="I5" s="54"/>
      <c r="J5" s="53"/>
      <c r="K5" s="53">
        <f>H5*6</f>
        <v>450</v>
      </c>
      <c r="L5" s="53"/>
      <c r="M5" s="55"/>
    </row>
    <row r="6" spans="1:13" x14ac:dyDescent="0.35">
      <c r="A6" t="s">
        <v>62</v>
      </c>
      <c r="B6" s="68" t="s">
        <v>33</v>
      </c>
      <c r="C6" s="69" t="s">
        <v>34</v>
      </c>
      <c r="D6" s="72">
        <v>94603</v>
      </c>
      <c r="E6" s="51">
        <v>43983</v>
      </c>
      <c r="F6" s="52">
        <v>0.45833333333333331</v>
      </c>
      <c r="G6" s="52">
        <v>0.54166666666666663</v>
      </c>
      <c r="H6" s="53">
        <v>75</v>
      </c>
      <c r="I6" s="54"/>
      <c r="J6" s="53"/>
      <c r="K6" s="53">
        <f>H6*6</f>
        <v>450</v>
      </c>
      <c r="L6" s="53"/>
      <c r="M6" s="55"/>
    </row>
    <row r="7" spans="1:13" x14ac:dyDescent="0.35">
      <c r="A7" t="s">
        <v>62</v>
      </c>
      <c r="B7" s="68" t="s">
        <v>7</v>
      </c>
      <c r="C7" s="71" t="s">
        <v>8</v>
      </c>
      <c r="D7" s="70">
        <v>94607</v>
      </c>
      <c r="E7" s="51">
        <v>43986</v>
      </c>
      <c r="F7" s="52">
        <v>0.45833333333333298</v>
      </c>
      <c r="G7" s="52">
        <v>0.54166666666666696</v>
      </c>
      <c r="H7" s="53">
        <v>500</v>
      </c>
      <c r="I7" s="54"/>
      <c r="J7" s="53"/>
      <c r="K7" s="53"/>
      <c r="L7" s="53">
        <f>H7*4</f>
        <v>2000</v>
      </c>
      <c r="M7" s="55"/>
    </row>
    <row r="8" spans="1:13" x14ac:dyDescent="0.35">
      <c r="A8" t="s">
        <v>62</v>
      </c>
      <c r="B8" s="68" t="s">
        <v>9</v>
      </c>
      <c r="C8" s="69" t="s">
        <v>10</v>
      </c>
      <c r="D8" s="70">
        <v>94601</v>
      </c>
      <c r="E8" s="51">
        <v>43984</v>
      </c>
      <c r="F8" s="52">
        <v>0.41666666666666669</v>
      </c>
      <c r="G8" s="52">
        <v>0.5</v>
      </c>
      <c r="H8" s="53">
        <v>200</v>
      </c>
      <c r="I8" s="54"/>
      <c r="J8" s="53">
        <f>H8*6</f>
        <v>1200</v>
      </c>
      <c r="K8" s="53"/>
      <c r="L8" s="53"/>
      <c r="M8" s="55">
        <f>H8*2</f>
        <v>400</v>
      </c>
    </row>
    <row r="9" spans="1:13" x14ac:dyDescent="0.35">
      <c r="A9" t="s">
        <v>62</v>
      </c>
      <c r="B9" s="68" t="s">
        <v>37</v>
      </c>
      <c r="C9" s="69" t="s">
        <v>38</v>
      </c>
      <c r="D9" s="70">
        <v>94608</v>
      </c>
      <c r="E9" s="51">
        <v>43983</v>
      </c>
      <c r="F9" s="52">
        <v>0.45833333333333331</v>
      </c>
      <c r="G9" s="52">
        <v>0.54166666666666663</v>
      </c>
      <c r="H9" s="53">
        <v>100</v>
      </c>
      <c r="I9" s="54">
        <f>H9*6</f>
        <v>600</v>
      </c>
      <c r="J9" s="53"/>
      <c r="K9" s="53"/>
      <c r="L9" s="53">
        <f>H9*4</f>
        <v>400</v>
      </c>
      <c r="M9" s="55"/>
    </row>
    <row r="10" spans="1:13" x14ac:dyDescent="0.35">
      <c r="A10" t="s">
        <v>62</v>
      </c>
      <c r="B10" s="68" t="s">
        <v>39</v>
      </c>
      <c r="C10" s="71" t="s">
        <v>40</v>
      </c>
      <c r="D10" s="70">
        <v>94608</v>
      </c>
      <c r="E10" s="60">
        <v>43985</v>
      </c>
      <c r="F10" s="52">
        <v>0.45833333333333331</v>
      </c>
      <c r="G10" s="52">
        <v>0.54166666666666663</v>
      </c>
      <c r="H10" s="53">
        <v>60</v>
      </c>
      <c r="I10" s="53"/>
      <c r="J10" s="53"/>
      <c r="K10" s="53">
        <f>H10*6</f>
        <v>360</v>
      </c>
      <c r="L10" s="53"/>
      <c r="M10" s="57"/>
    </row>
    <row r="11" spans="1:13" x14ac:dyDescent="0.35">
      <c r="A11" t="s">
        <v>62</v>
      </c>
      <c r="B11" s="68" t="s">
        <v>11</v>
      </c>
      <c r="C11" s="69" t="s">
        <v>12</v>
      </c>
      <c r="D11" s="72">
        <v>94612</v>
      </c>
      <c r="E11" s="51">
        <v>43985</v>
      </c>
      <c r="F11" s="52">
        <v>0.33333333333333331</v>
      </c>
      <c r="G11" s="52">
        <v>0.95833333333333337</v>
      </c>
      <c r="H11" s="53">
        <v>150</v>
      </c>
      <c r="I11" s="54"/>
      <c r="J11" s="53"/>
      <c r="K11" s="53">
        <f>H11*6</f>
        <v>900</v>
      </c>
      <c r="L11" s="53"/>
      <c r="M11" s="55"/>
    </row>
    <row r="12" spans="1:13" x14ac:dyDescent="0.35">
      <c r="B12" s="86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8"/>
    </row>
    <row r="13" spans="1:13" x14ac:dyDescent="0.35">
      <c r="A13" t="s">
        <v>61</v>
      </c>
      <c r="B13" s="68" t="s">
        <v>25</v>
      </c>
      <c r="C13" s="71" t="s">
        <v>26</v>
      </c>
      <c r="D13" s="70">
        <v>94607</v>
      </c>
      <c r="E13" s="51">
        <v>43983</v>
      </c>
      <c r="F13" s="52">
        <v>0.41666666666666669</v>
      </c>
      <c r="G13" s="52">
        <v>0.54166666666666663</v>
      </c>
      <c r="H13" s="53">
        <v>300</v>
      </c>
      <c r="I13" s="54">
        <f>H13*6</f>
        <v>1800</v>
      </c>
      <c r="J13" s="53"/>
      <c r="K13" s="53"/>
      <c r="L13" s="53">
        <f>H13*4</f>
        <v>1200</v>
      </c>
      <c r="M13" s="55"/>
    </row>
    <row r="14" spans="1:13" x14ac:dyDescent="0.35">
      <c r="A14" t="s">
        <v>61</v>
      </c>
      <c r="B14" s="68" t="s">
        <v>41</v>
      </c>
      <c r="C14" s="69" t="s">
        <v>42</v>
      </c>
      <c r="D14" s="70">
        <v>94607</v>
      </c>
      <c r="E14" s="51">
        <v>43991</v>
      </c>
      <c r="F14" s="52" t="s">
        <v>6</v>
      </c>
      <c r="G14" s="52" t="s">
        <v>6</v>
      </c>
      <c r="H14" s="53">
        <v>100</v>
      </c>
      <c r="I14" s="54"/>
      <c r="J14" s="53" t="s">
        <v>2</v>
      </c>
      <c r="K14" s="53"/>
      <c r="L14" s="53" t="s">
        <v>2</v>
      </c>
      <c r="M14" s="55"/>
    </row>
    <row r="15" spans="1:13" x14ac:dyDescent="0.35">
      <c r="A15" t="s">
        <v>61</v>
      </c>
      <c r="B15" s="68" t="s">
        <v>13</v>
      </c>
      <c r="C15" s="71" t="s">
        <v>14</v>
      </c>
      <c r="D15" s="70">
        <v>94612</v>
      </c>
      <c r="E15" s="51">
        <v>43985</v>
      </c>
      <c r="F15" s="52">
        <v>0.45833333333333331</v>
      </c>
      <c r="G15" s="52">
        <v>0.54166666666666663</v>
      </c>
      <c r="H15" s="53">
        <v>100</v>
      </c>
      <c r="I15" s="54">
        <f>H15*6</f>
        <v>600</v>
      </c>
      <c r="J15" s="53"/>
      <c r="K15" s="53"/>
      <c r="L15" s="53"/>
      <c r="M15" s="55"/>
    </row>
    <row r="16" spans="1:13" x14ac:dyDescent="0.35">
      <c r="A16" t="s">
        <v>61</v>
      </c>
      <c r="B16" s="68" t="s">
        <v>15</v>
      </c>
      <c r="C16" s="69" t="s">
        <v>16</v>
      </c>
      <c r="D16" s="70">
        <v>94806</v>
      </c>
      <c r="E16" s="51">
        <v>43983</v>
      </c>
      <c r="F16" s="52">
        <v>0.58333333333333337</v>
      </c>
      <c r="G16" s="52">
        <v>0.66666666666666663</v>
      </c>
      <c r="H16" s="53">
        <v>200</v>
      </c>
      <c r="I16" s="54"/>
      <c r="J16" s="53">
        <f>H16*6</f>
        <v>1200</v>
      </c>
      <c r="K16" s="53"/>
      <c r="L16" s="53"/>
      <c r="M16" s="55">
        <f>H16*2</f>
        <v>400</v>
      </c>
    </row>
    <row r="17" spans="1:13" x14ac:dyDescent="0.35">
      <c r="A17" t="s">
        <v>61</v>
      </c>
      <c r="B17" s="68" t="s">
        <v>43</v>
      </c>
      <c r="C17" s="69" t="s">
        <v>44</v>
      </c>
      <c r="D17" s="70">
        <v>94621</v>
      </c>
      <c r="E17" s="51">
        <v>44004</v>
      </c>
      <c r="F17" s="52" t="s">
        <v>6</v>
      </c>
      <c r="G17" s="52" t="s">
        <v>6</v>
      </c>
      <c r="H17" s="53">
        <v>110</v>
      </c>
      <c r="I17" s="54" t="s">
        <v>2</v>
      </c>
      <c r="J17" s="53" t="s">
        <v>2</v>
      </c>
      <c r="K17" s="53" t="s">
        <v>2</v>
      </c>
      <c r="L17" s="53" t="s">
        <v>2</v>
      </c>
      <c r="M17" s="55" t="s">
        <v>2</v>
      </c>
    </row>
    <row r="18" spans="1:13" ht="12.65" customHeight="1" x14ac:dyDescent="0.35">
      <c r="A18" t="s">
        <v>61</v>
      </c>
      <c r="B18" s="68" t="s">
        <v>45</v>
      </c>
      <c r="C18" s="71" t="s">
        <v>46</v>
      </c>
      <c r="D18" s="70">
        <v>94601</v>
      </c>
      <c r="E18" s="51">
        <v>43984</v>
      </c>
      <c r="F18" s="56">
        <v>0.58333333333333337</v>
      </c>
      <c r="G18" s="56">
        <v>0.66666666666666663</v>
      </c>
      <c r="H18" s="53">
        <v>175</v>
      </c>
      <c r="I18" s="54"/>
      <c r="J18" s="54">
        <f>H18*4</f>
        <v>700</v>
      </c>
      <c r="K18" s="54"/>
      <c r="L18" s="53">
        <f>H18*4</f>
        <v>700</v>
      </c>
      <c r="M18" s="55"/>
    </row>
    <row r="19" spans="1:13" x14ac:dyDescent="0.35">
      <c r="A19" t="s">
        <v>61</v>
      </c>
      <c r="B19" s="68" t="s">
        <v>17</v>
      </c>
      <c r="C19" s="71" t="s">
        <v>18</v>
      </c>
      <c r="D19" s="70">
        <v>94607</v>
      </c>
      <c r="E19" s="51">
        <v>43991</v>
      </c>
      <c r="F19" s="52" t="s">
        <v>6</v>
      </c>
      <c r="G19" s="52" t="s">
        <v>6</v>
      </c>
      <c r="H19" s="53">
        <v>55</v>
      </c>
      <c r="I19" s="54" t="s">
        <v>2</v>
      </c>
      <c r="J19" s="53" t="s">
        <v>2</v>
      </c>
      <c r="K19" s="53" t="s">
        <v>2</v>
      </c>
      <c r="L19" s="53" t="s">
        <v>2</v>
      </c>
      <c r="M19" s="55" t="s">
        <v>2</v>
      </c>
    </row>
    <row r="20" spans="1:13" x14ac:dyDescent="0.35">
      <c r="A20" t="s">
        <v>61</v>
      </c>
      <c r="B20" s="68" t="s">
        <v>5</v>
      </c>
      <c r="C20" s="70" t="s">
        <v>6</v>
      </c>
      <c r="D20" s="70" t="s">
        <v>6</v>
      </c>
      <c r="E20" s="51">
        <v>43985</v>
      </c>
      <c r="F20" s="52" t="s">
        <v>6</v>
      </c>
      <c r="G20" s="52" t="s">
        <v>6</v>
      </c>
      <c r="H20" s="53">
        <v>150</v>
      </c>
      <c r="I20" s="54"/>
      <c r="J20" s="53"/>
      <c r="K20" s="53">
        <f>H20*6</f>
        <v>900</v>
      </c>
      <c r="L20" s="53"/>
      <c r="M20" s="55"/>
    </row>
    <row r="21" spans="1:13" x14ac:dyDescent="0.35">
      <c r="A21" t="s">
        <v>61</v>
      </c>
      <c r="B21" s="68" t="s">
        <v>19</v>
      </c>
      <c r="C21" s="69" t="s">
        <v>20</v>
      </c>
      <c r="D21" s="70">
        <v>94606</v>
      </c>
      <c r="E21" s="51">
        <v>44006</v>
      </c>
      <c r="F21" s="52" t="s">
        <v>6</v>
      </c>
      <c r="G21" s="52" t="s">
        <v>6</v>
      </c>
      <c r="H21" s="53">
        <v>150</v>
      </c>
      <c r="I21" s="54"/>
      <c r="J21" s="53"/>
      <c r="K21" s="53" t="s">
        <v>2</v>
      </c>
      <c r="L21" s="53"/>
      <c r="M21" s="55"/>
    </row>
    <row r="22" spans="1:13" x14ac:dyDescent="0.35">
      <c r="A22" t="s">
        <v>61</v>
      </c>
      <c r="B22" s="68" t="s">
        <v>21</v>
      </c>
      <c r="C22" s="69" t="s">
        <v>22</v>
      </c>
      <c r="D22" s="70">
        <v>94621</v>
      </c>
      <c r="E22" s="51">
        <v>43983</v>
      </c>
      <c r="F22" s="52">
        <v>0.45833333333333331</v>
      </c>
      <c r="G22" s="52">
        <v>0.54166666666666663</v>
      </c>
      <c r="H22" s="53">
        <v>100</v>
      </c>
      <c r="I22" s="54">
        <f>H22*6</f>
        <v>600</v>
      </c>
      <c r="J22" s="53"/>
      <c r="K22" s="53"/>
      <c r="L22" s="53"/>
      <c r="M22" s="55"/>
    </row>
    <row r="23" spans="1:13" ht="15" customHeight="1" x14ac:dyDescent="0.35">
      <c r="A23" t="s">
        <v>61</v>
      </c>
      <c r="B23" s="68" t="s">
        <v>21</v>
      </c>
      <c r="C23" s="71" t="s">
        <v>22</v>
      </c>
      <c r="D23" s="70">
        <v>94621</v>
      </c>
      <c r="E23" s="51">
        <v>43983</v>
      </c>
      <c r="F23" s="52">
        <v>0.45833333333333331</v>
      </c>
      <c r="G23" s="52">
        <v>4.1666666666666664E-2</v>
      </c>
      <c r="H23" s="53">
        <v>100</v>
      </c>
      <c r="I23" s="58"/>
      <c r="J23" s="58"/>
      <c r="K23" s="58"/>
      <c r="L23" s="53">
        <f>H23*4</f>
        <v>400</v>
      </c>
      <c r="M23" s="59"/>
    </row>
    <row r="24" spans="1:13" x14ac:dyDescent="0.35">
      <c r="A24" t="s">
        <v>61</v>
      </c>
      <c r="B24" s="68" t="s">
        <v>47</v>
      </c>
      <c r="C24" s="71" t="s">
        <v>48</v>
      </c>
      <c r="D24" s="70">
        <v>94621</v>
      </c>
      <c r="E24" s="51">
        <v>43984</v>
      </c>
      <c r="F24" s="52" t="s">
        <v>6</v>
      </c>
      <c r="G24" s="52" t="s">
        <v>6</v>
      </c>
      <c r="H24" s="53">
        <v>100</v>
      </c>
      <c r="I24" s="54"/>
      <c r="J24" s="53" t="s">
        <v>2</v>
      </c>
      <c r="K24" s="53"/>
      <c r="L24" s="53" t="s">
        <v>2</v>
      </c>
      <c r="M24" s="55"/>
    </row>
    <row r="25" spans="1:13" ht="15" customHeight="1" x14ac:dyDescent="0.35">
      <c r="A25" t="s">
        <v>61</v>
      </c>
      <c r="B25" s="68" t="s">
        <v>35</v>
      </c>
      <c r="C25" s="71" t="s">
        <v>36</v>
      </c>
      <c r="D25" s="70">
        <v>94608</v>
      </c>
      <c r="E25" s="51">
        <v>43990</v>
      </c>
      <c r="F25" s="52" t="s">
        <v>6</v>
      </c>
      <c r="G25" s="52" t="s">
        <v>6</v>
      </c>
      <c r="H25" s="53">
        <v>100</v>
      </c>
      <c r="I25" s="54" t="s">
        <v>2</v>
      </c>
      <c r="J25" s="53"/>
      <c r="K25" s="53"/>
      <c r="L25" s="53" t="s">
        <v>2</v>
      </c>
      <c r="M25" s="55"/>
    </row>
    <row r="26" spans="1:13" x14ac:dyDescent="0.35">
      <c r="A26" t="s">
        <v>61</v>
      </c>
      <c r="B26" s="68" t="s">
        <v>49</v>
      </c>
      <c r="C26" s="69" t="s">
        <v>50</v>
      </c>
      <c r="D26" s="70">
        <v>94607</v>
      </c>
      <c r="E26" s="51">
        <v>43991</v>
      </c>
      <c r="F26" s="52" t="s">
        <v>6</v>
      </c>
      <c r="G26" s="52" t="s">
        <v>6</v>
      </c>
      <c r="H26" s="53">
        <v>200</v>
      </c>
      <c r="I26" s="54" t="s">
        <v>2</v>
      </c>
      <c r="J26" s="53"/>
      <c r="K26" s="53"/>
      <c r="L26" s="53" t="s">
        <v>2</v>
      </c>
      <c r="M26" s="55"/>
    </row>
    <row r="27" spans="1:13" x14ac:dyDescent="0.35">
      <c r="A27" t="s">
        <v>61</v>
      </c>
      <c r="B27" s="68" t="s">
        <v>51</v>
      </c>
      <c r="C27" s="71" t="s">
        <v>52</v>
      </c>
      <c r="D27" s="70">
        <v>94603</v>
      </c>
      <c r="E27" s="51">
        <v>44000</v>
      </c>
      <c r="F27" s="52" t="s">
        <v>6</v>
      </c>
      <c r="G27" s="52" t="s">
        <v>6</v>
      </c>
      <c r="H27" s="53">
        <v>100</v>
      </c>
      <c r="I27" s="54"/>
      <c r="J27" s="53" t="s">
        <v>2</v>
      </c>
      <c r="K27" s="53"/>
      <c r="L27" s="53" t="s">
        <v>2</v>
      </c>
      <c r="M27" s="55"/>
    </row>
    <row r="28" spans="1:13" x14ac:dyDescent="0.35">
      <c r="A28" t="s">
        <v>61</v>
      </c>
      <c r="B28" s="68" t="s">
        <v>53</v>
      </c>
      <c r="C28" s="69" t="s">
        <v>54</v>
      </c>
      <c r="D28" s="70">
        <v>94806</v>
      </c>
      <c r="E28" s="51">
        <v>43990</v>
      </c>
      <c r="F28" s="52" t="s">
        <v>6</v>
      </c>
      <c r="G28" s="52" t="s">
        <v>6</v>
      </c>
      <c r="H28" s="53">
        <v>100</v>
      </c>
      <c r="I28" s="54" t="s">
        <v>2</v>
      </c>
      <c r="J28" s="53"/>
      <c r="K28" s="53"/>
      <c r="L28" s="53" t="s">
        <v>2</v>
      </c>
      <c r="M28" s="55"/>
    </row>
    <row r="29" spans="1:13" x14ac:dyDescent="0.35">
      <c r="A29" t="s">
        <v>61</v>
      </c>
      <c r="B29" s="68" t="s">
        <v>55</v>
      </c>
      <c r="C29" s="69" t="s">
        <v>56</v>
      </c>
      <c r="D29" s="72">
        <v>94612</v>
      </c>
      <c r="E29" s="51">
        <v>43984</v>
      </c>
      <c r="F29" s="52">
        <v>0.45833333333333331</v>
      </c>
      <c r="G29" s="52">
        <v>0.54166666666666663</v>
      </c>
      <c r="H29" s="53">
        <v>175</v>
      </c>
      <c r="I29" s="54"/>
      <c r="J29" s="53">
        <f>H29*6</f>
        <v>1050</v>
      </c>
      <c r="K29" s="53"/>
      <c r="L29" s="53">
        <f>H29*2</f>
        <v>350</v>
      </c>
      <c r="M29" s="55"/>
    </row>
    <row r="30" spans="1:13" x14ac:dyDescent="0.35">
      <c r="A30" t="s">
        <v>61</v>
      </c>
      <c r="B30" s="68" t="s">
        <v>57</v>
      </c>
      <c r="C30" s="71" t="s">
        <v>58</v>
      </c>
      <c r="D30" s="70">
        <v>94605</v>
      </c>
      <c r="E30" s="51">
        <v>43984</v>
      </c>
      <c r="F30" s="52">
        <v>0.58333333333333337</v>
      </c>
      <c r="G30" s="52">
        <v>0.66666666666666663</v>
      </c>
      <c r="H30" s="53">
        <v>150</v>
      </c>
      <c r="I30" s="54"/>
      <c r="J30" s="53">
        <f>H30*6</f>
        <v>900</v>
      </c>
      <c r="K30" s="53"/>
      <c r="L30" s="53">
        <f>H30*2</f>
        <v>300</v>
      </c>
      <c r="M30" s="55"/>
    </row>
    <row r="31" spans="1:13" ht="15" thickBot="1" x14ac:dyDescent="0.4">
      <c r="A31" t="s">
        <v>61</v>
      </c>
      <c r="B31" s="73" t="s">
        <v>23</v>
      </c>
      <c r="C31" s="76" t="s">
        <v>59</v>
      </c>
      <c r="D31" s="77">
        <v>94606</v>
      </c>
      <c r="E31" s="61">
        <v>43985</v>
      </c>
      <c r="F31" s="62">
        <v>0.45833333333333331</v>
      </c>
      <c r="G31" s="62">
        <v>0.54166666666666663</v>
      </c>
      <c r="H31" s="63">
        <v>70</v>
      </c>
      <c r="I31" s="64">
        <v>0</v>
      </c>
      <c r="J31" s="63">
        <v>0</v>
      </c>
      <c r="K31" s="63">
        <f>H31*6</f>
        <v>420</v>
      </c>
      <c r="L31" s="63">
        <v>0</v>
      </c>
      <c r="M31" s="65">
        <v>0</v>
      </c>
    </row>
  </sheetData>
  <sortState xmlns:xlrd2="http://schemas.microsoft.com/office/spreadsheetml/2017/richdata2" ref="A1:M34">
    <sortCondition descending="1" ref="A1"/>
  </sortState>
  <mergeCells count="1">
    <mergeCell ref="B12:M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workbookViewId="0">
      <selection activeCell="O12" sqref="O12"/>
    </sheetView>
  </sheetViews>
  <sheetFormatPr defaultRowHeight="14.5" x14ac:dyDescent="0.35"/>
  <cols>
    <col min="1" max="1" width="34.54296875" customWidth="1"/>
    <col min="2" max="2" width="21.90625" customWidth="1"/>
    <col min="8" max="12" width="11.81640625" customWidth="1"/>
  </cols>
  <sheetData>
    <row r="1" spans="1:12" x14ac:dyDescent="0.35">
      <c r="A1" s="17" t="s">
        <v>25</v>
      </c>
      <c r="B1" s="17" t="s">
        <v>26</v>
      </c>
      <c r="C1" s="12">
        <v>94607</v>
      </c>
      <c r="D1" s="27">
        <v>43983</v>
      </c>
      <c r="E1" s="13">
        <v>0.41666666666666669</v>
      </c>
      <c r="F1" s="13">
        <v>0.54166666666666663</v>
      </c>
      <c r="G1" s="15">
        <v>300</v>
      </c>
      <c r="H1" s="23">
        <f>G1*6</f>
        <v>1800</v>
      </c>
      <c r="I1" s="15"/>
      <c r="J1" s="15"/>
      <c r="K1" s="15">
        <f>G1*4</f>
        <v>1200</v>
      </c>
      <c r="L1" s="23"/>
    </row>
    <row r="2" spans="1:12" x14ac:dyDescent="0.35">
      <c r="A2" s="17" t="s">
        <v>27</v>
      </c>
      <c r="B2" s="7" t="s">
        <v>28</v>
      </c>
      <c r="C2" s="12">
        <v>94619</v>
      </c>
      <c r="D2" s="28">
        <v>43985</v>
      </c>
      <c r="E2" s="8">
        <v>0.58333333333333337</v>
      </c>
      <c r="F2" s="8">
        <v>0.66666666666666663</v>
      </c>
      <c r="G2" s="10">
        <v>50</v>
      </c>
      <c r="H2" s="29"/>
      <c r="I2" s="10"/>
      <c r="J2" s="10">
        <f>G2*6</f>
        <v>300</v>
      </c>
      <c r="K2" s="10"/>
      <c r="L2" s="29"/>
    </row>
    <row r="3" spans="1:12" x14ac:dyDescent="0.35">
      <c r="A3" s="17" t="s">
        <v>41</v>
      </c>
      <c r="B3" s="7" t="s">
        <v>42</v>
      </c>
      <c r="C3" s="12">
        <v>94607</v>
      </c>
      <c r="D3" s="27">
        <v>43991</v>
      </c>
      <c r="E3" s="13" t="s">
        <v>6</v>
      </c>
      <c r="F3" s="13" t="s">
        <v>6</v>
      </c>
      <c r="G3" s="15">
        <v>100</v>
      </c>
      <c r="H3" s="23"/>
      <c r="I3" s="15">
        <f>G3*4</f>
        <v>400</v>
      </c>
      <c r="J3" s="15"/>
      <c r="K3" s="15">
        <f>G3*4</f>
        <v>400</v>
      </c>
      <c r="L3" s="23"/>
    </row>
    <row r="4" spans="1:12" x14ac:dyDescent="0.35">
      <c r="A4" s="17" t="s">
        <v>13</v>
      </c>
      <c r="B4" s="17" t="s">
        <v>14</v>
      </c>
      <c r="C4" s="12">
        <v>94612</v>
      </c>
      <c r="D4" s="27">
        <v>43985</v>
      </c>
      <c r="E4" s="13">
        <v>0.45833333333333331</v>
      </c>
      <c r="F4" s="13">
        <v>0.54166666666666663</v>
      </c>
      <c r="G4" s="15">
        <v>100</v>
      </c>
      <c r="H4" s="23">
        <f>G4*6</f>
        <v>600</v>
      </c>
      <c r="I4" s="15"/>
      <c r="J4" s="15"/>
      <c r="K4" s="15"/>
      <c r="L4" s="23"/>
    </row>
    <row r="5" spans="1:12" x14ac:dyDescent="0.35">
      <c r="A5" s="17" t="s">
        <v>0</v>
      </c>
      <c r="B5" s="17" t="s">
        <v>1</v>
      </c>
      <c r="C5" s="12">
        <v>94607</v>
      </c>
      <c r="D5" s="27">
        <v>43983</v>
      </c>
      <c r="E5" s="13">
        <v>0.45833333333333331</v>
      </c>
      <c r="F5" s="13">
        <v>0.54166666666666663</v>
      </c>
      <c r="G5" s="15">
        <v>200</v>
      </c>
      <c r="H5" s="23"/>
      <c r="I5" s="15">
        <f>G5*6</f>
        <v>1200</v>
      </c>
      <c r="J5" s="15"/>
      <c r="K5" s="15"/>
      <c r="L5" s="23">
        <f>G5*2</f>
        <v>400</v>
      </c>
    </row>
    <row r="6" spans="1:12" x14ac:dyDescent="0.35">
      <c r="A6" s="17" t="s">
        <v>15</v>
      </c>
      <c r="B6" s="7" t="s">
        <v>16</v>
      </c>
      <c r="C6" s="12">
        <v>94806</v>
      </c>
      <c r="D6" s="28">
        <v>43983</v>
      </c>
      <c r="E6" s="8">
        <v>0.58333333333333337</v>
      </c>
      <c r="F6" s="8">
        <v>0.66666666666666663</v>
      </c>
      <c r="G6" s="10">
        <v>200</v>
      </c>
      <c r="H6" s="29"/>
      <c r="I6" s="10">
        <f>G6*6</f>
        <v>1200</v>
      </c>
      <c r="J6" s="10"/>
      <c r="K6" s="10"/>
      <c r="L6" s="29">
        <f>G6*2</f>
        <v>400</v>
      </c>
    </row>
    <row r="7" spans="1:12" x14ac:dyDescent="0.35">
      <c r="A7" s="17" t="s">
        <v>3</v>
      </c>
      <c r="B7" s="7" t="s">
        <v>4</v>
      </c>
      <c r="C7" s="12">
        <v>94603</v>
      </c>
      <c r="D7" s="28">
        <v>43983</v>
      </c>
      <c r="E7" s="8">
        <v>0.45833333333333331</v>
      </c>
      <c r="F7" s="8">
        <v>0.54166666666666663</v>
      </c>
      <c r="G7" s="10">
        <v>400</v>
      </c>
      <c r="H7" s="29">
        <f>G7*6</f>
        <v>2400</v>
      </c>
      <c r="I7" s="10"/>
      <c r="J7" s="10"/>
      <c r="K7" s="10">
        <f>G7*4</f>
        <v>1600</v>
      </c>
      <c r="L7" s="29"/>
    </row>
    <row r="8" spans="1:12" x14ac:dyDescent="0.35">
      <c r="A8" s="17" t="s">
        <v>43</v>
      </c>
      <c r="B8" s="7" t="s">
        <v>44</v>
      </c>
      <c r="C8" s="12">
        <v>94621</v>
      </c>
      <c r="D8" s="28">
        <v>44004</v>
      </c>
      <c r="E8" s="8" t="s">
        <v>6</v>
      </c>
      <c r="F8" s="8" t="s">
        <v>6</v>
      </c>
      <c r="G8" s="10">
        <v>110</v>
      </c>
      <c r="H8" s="29" t="s">
        <v>2</v>
      </c>
      <c r="I8" s="10" t="s">
        <v>2</v>
      </c>
      <c r="J8" s="10" t="s">
        <v>2</v>
      </c>
      <c r="K8" s="10" t="s">
        <v>2</v>
      </c>
      <c r="L8" s="29" t="s">
        <v>2</v>
      </c>
    </row>
    <row r="9" spans="1:12" x14ac:dyDescent="0.35">
      <c r="A9" s="17" t="s">
        <v>45</v>
      </c>
      <c r="B9" s="17" t="s">
        <v>46</v>
      </c>
      <c r="C9" s="12">
        <v>94601</v>
      </c>
      <c r="D9" s="27">
        <v>43984</v>
      </c>
      <c r="E9" s="22">
        <v>0.58333333333333337</v>
      </c>
      <c r="F9" s="22">
        <v>0.66666666666666663</v>
      </c>
      <c r="G9" s="15">
        <v>175</v>
      </c>
      <c r="H9" s="23"/>
      <c r="I9" s="23">
        <f>G9*4</f>
        <v>700</v>
      </c>
      <c r="J9" s="23"/>
      <c r="K9" s="15">
        <f>G9*4</f>
        <v>700</v>
      </c>
      <c r="L9" s="23"/>
    </row>
    <row r="10" spans="1:12" x14ac:dyDescent="0.35">
      <c r="A10" s="17" t="s">
        <v>29</v>
      </c>
      <c r="B10" s="17" t="s">
        <v>30</v>
      </c>
      <c r="C10" s="12">
        <v>94607</v>
      </c>
      <c r="D10" s="27">
        <v>43992</v>
      </c>
      <c r="E10" s="13" t="s">
        <v>6</v>
      </c>
      <c r="F10" s="13" t="s">
        <v>6</v>
      </c>
      <c r="G10" s="15">
        <v>200</v>
      </c>
      <c r="H10" s="23"/>
      <c r="I10" s="15"/>
      <c r="J10" s="15">
        <f>G10*6</f>
        <v>1200</v>
      </c>
      <c r="K10" s="15"/>
      <c r="L10" s="15"/>
    </row>
    <row r="11" spans="1:12" x14ac:dyDescent="0.35">
      <c r="A11" s="17" t="s">
        <v>17</v>
      </c>
      <c r="B11" s="17" t="s">
        <v>18</v>
      </c>
      <c r="C11" s="12">
        <v>94607</v>
      </c>
      <c r="D11" s="27">
        <v>43991</v>
      </c>
      <c r="E11" s="13" t="s">
        <v>6</v>
      </c>
      <c r="F11" s="13" t="s">
        <v>6</v>
      </c>
      <c r="G11" s="15">
        <v>55</v>
      </c>
      <c r="H11" s="23">
        <f>G11*2</f>
        <v>110</v>
      </c>
      <c r="I11" s="23">
        <v>110</v>
      </c>
      <c r="J11" s="23">
        <v>110</v>
      </c>
      <c r="K11" s="23">
        <v>110</v>
      </c>
      <c r="L11" s="23">
        <v>110</v>
      </c>
    </row>
    <row r="12" spans="1:12" x14ac:dyDescent="0.35">
      <c r="A12" s="17" t="s">
        <v>31</v>
      </c>
      <c r="B12" s="7" t="s">
        <v>32</v>
      </c>
      <c r="C12" s="12">
        <v>94606</v>
      </c>
      <c r="D12" s="28">
        <v>43983</v>
      </c>
      <c r="E12" s="8">
        <v>0.58333333333333337</v>
      </c>
      <c r="F12" s="8">
        <v>0.66666666666666663</v>
      </c>
      <c r="G12" s="10">
        <v>75</v>
      </c>
      <c r="H12" s="29"/>
      <c r="I12" s="10"/>
      <c r="J12" s="10">
        <f>G12*6</f>
        <v>450</v>
      </c>
      <c r="K12" s="10"/>
      <c r="L12" s="29"/>
    </row>
    <row r="13" spans="1:12" x14ac:dyDescent="0.35">
      <c r="A13" s="17" t="s">
        <v>5</v>
      </c>
      <c r="B13" s="12" t="s">
        <v>6</v>
      </c>
      <c r="C13" s="12" t="s">
        <v>6</v>
      </c>
      <c r="D13" s="27">
        <v>43985</v>
      </c>
      <c r="E13" s="13" t="s">
        <v>6</v>
      </c>
      <c r="F13" s="13" t="s">
        <v>6</v>
      </c>
      <c r="G13" s="15">
        <v>150</v>
      </c>
      <c r="H13" s="23"/>
      <c r="I13" s="15"/>
      <c r="J13" s="15">
        <f>G13*6</f>
        <v>900</v>
      </c>
      <c r="K13" s="15"/>
      <c r="L13" s="23"/>
    </row>
    <row r="14" spans="1:12" x14ac:dyDescent="0.35">
      <c r="A14" s="17" t="s">
        <v>33</v>
      </c>
      <c r="B14" s="7" t="s">
        <v>34</v>
      </c>
      <c r="C14" s="30">
        <v>94603</v>
      </c>
      <c r="D14" s="27">
        <v>43983</v>
      </c>
      <c r="E14" s="13">
        <v>0.45833333333333331</v>
      </c>
      <c r="F14" s="13">
        <v>0.54166666666666663</v>
      </c>
      <c r="G14" s="15">
        <v>75</v>
      </c>
      <c r="H14" s="23"/>
      <c r="I14" s="15"/>
      <c r="J14" s="15">
        <f>G14*6</f>
        <v>450</v>
      </c>
      <c r="K14" s="15"/>
      <c r="L14" s="23"/>
    </row>
    <row r="15" spans="1:12" x14ac:dyDescent="0.35">
      <c r="A15" s="17" t="s">
        <v>19</v>
      </c>
      <c r="B15" s="7" t="s">
        <v>20</v>
      </c>
      <c r="C15" s="12">
        <v>94606</v>
      </c>
      <c r="D15" s="28">
        <v>44006</v>
      </c>
      <c r="E15" s="8" t="s">
        <v>6</v>
      </c>
      <c r="F15" s="8" t="s">
        <v>6</v>
      </c>
      <c r="G15" s="10">
        <v>150</v>
      </c>
      <c r="H15" s="29"/>
      <c r="I15" s="10"/>
      <c r="J15" s="10" t="s">
        <v>2</v>
      </c>
      <c r="K15" s="10"/>
      <c r="L15" s="29"/>
    </row>
    <row r="16" spans="1:12" x14ac:dyDescent="0.35">
      <c r="A16" s="17" t="s">
        <v>21</v>
      </c>
      <c r="B16" s="7" t="s">
        <v>22</v>
      </c>
      <c r="C16" s="12">
        <v>94621</v>
      </c>
      <c r="D16" s="27">
        <v>43983</v>
      </c>
      <c r="E16" s="13">
        <v>0.45833333333333331</v>
      </c>
      <c r="F16" s="13">
        <v>0.54166666666666663</v>
      </c>
      <c r="G16" s="15">
        <v>100</v>
      </c>
      <c r="H16" s="23">
        <f>G16*6</f>
        <v>600</v>
      </c>
      <c r="I16" s="15"/>
      <c r="J16" s="15"/>
      <c r="K16" s="15"/>
      <c r="L16" s="23"/>
    </row>
    <row r="17" spans="1:14" ht="14.4" customHeight="1" x14ac:dyDescent="0.35">
      <c r="A17" s="17" t="s">
        <v>21</v>
      </c>
      <c r="B17" s="17" t="s">
        <v>22</v>
      </c>
      <c r="C17" s="12">
        <v>94621</v>
      </c>
      <c r="D17" s="28">
        <v>43983</v>
      </c>
      <c r="E17" s="8">
        <v>0.45833333333333331</v>
      </c>
      <c r="F17" s="8">
        <v>4.1666666666666664E-2</v>
      </c>
      <c r="G17" s="10">
        <v>100</v>
      </c>
      <c r="H17" s="24"/>
      <c r="I17" s="24"/>
      <c r="J17" s="24"/>
      <c r="K17" s="10">
        <f>G17*4</f>
        <v>400</v>
      </c>
      <c r="L17" s="24"/>
    </row>
    <row r="18" spans="1:14" x14ac:dyDescent="0.35">
      <c r="A18" s="17" t="s">
        <v>47</v>
      </c>
      <c r="B18" s="17" t="s">
        <v>48</v>
      </c>
      <c r="C18" s="12">
        <v>94621</v>
      </c>
      <c r="D18" s="27">
        <v>43990</v>
      </c>
      <c r="E18" s="13" t="s">
        <v>6</v>
      </c>
      <c r="F18" s="13" t="s">
        <v>6</v>
      </c>
      <c r="G18" s="15">
        <v>100</v>
      </c>
      <c r="H18" s="23"/>
      <c r="I18" s="15">
        <f>G18*4</f>
        <v>400</v>
      </c>
      <c r="J18" s="15"/>
      <c r="K18" s="15">
        <f>G18*4</f>
        <v>400</v>
      </c>
      <c r="L18" s="23"/>
    </row>
    <row r="19" spans="1:14" x14ac:dyDescent="0.35">
      <c r="A19" s="17" t="s">
        <v>35</v>
      </c>
      <c r="B19" s="17" t="s">
        <v>36</v>
      </c>
      <c r="C19" s="12">
        <v>94608</v>
      </c>
      <c r="D19" s="28">
        <v>43990</v>
      </c>
      <c r="E19" s="8" t="s">
        <v>6</v>
      </c>
      <c r="F19" s="8" t="s">
        <v>6</v>
      </c>
      <c r="G19" s="10">
        <v>100</v>
      </c>
      <c r="H19" s="29">
        <f>G19*6</f>
        <v>600</v>
      </c>
      <c r="I19" s="10"/>
      <c r="J19" s="10"/>
      <c r="K19" s="10">
        <f>G19*4</f>
        <v>400</v>
      </c>
      <c r="L19" s="29"/>
    </row>
    <row r="20" spans="1:14" x14ac:dyDescent="0.35">
      <c r="A20" s="17" t="s">
        <v>49</v>
      </c>
      <c r="B20" s="7" t="s">
        <v>50</v>
      </c>
      <c r="C20" s="12">
        <v>94607</v>
      </c>
      <c r="D20" s="28">
        <v>43991</v>
      </c>
      <c r="E20" s="8" t="s">
        <v>6</v>
      </c>
      <c r="F20" s="8" t="s">
        <v>6</v>
      </c>
      <c r="G20" s="10">
        <v>200</v>
      </c>
      <c r="H20" s="29">
        <f>G20*6</f>
        <v>1200</v>
      </c>
      <c r="I20" s="10"/>
      <c r="J20" s="10"/>
      <c r="K20" s="10">
        <f>G20*4</f>
        <v>800</v>
      </c>
      <c r="L20" s="29"/>
    </row>
    <row r="21" spans="1:14" x14ac:dyDescent="0.35">
      <c r="A21" s="17" t="s">
        <v>7</v>
      </c>
      <c r="B21" s="17" t="s">
        <v>8</v>
      </c>
      <c r="C21" s="12">
        <v>94607</v>
      </c>
      <c r="D21" s="28">
        <v>43986</v>
      </c>
      <c r="E21" s="8">
        <v>0.45833333333333298</v>
      </c>
      <c r="F21" s="8">
        <v>0.54166666666666696</v>
      </c>
      <c r="G21" s="10">
        <v>500</v>
      </c>
      <c r="H21" s="29"/>
      <c r="I21" s="10"/>
      <c r="J21" s="10"/>
      <c r="K21" s="10">
        <f>G21*4</f>
        <v>2000</v>
      </c>
      <c r="L21" s="29"/>
    </row>
    <row r="22" spans="1:14" x14ac:dyDescent="0.35">
      <c r="A22" s="17" t="s">
        <v>51</v>
      </c>
      <c r="B22" s="17" t="s">
        <v>52</v>
      </c>
      <c r="C22" s="12">
        <v>94603</v>
      </c>
      <c r="D22" s="27">
        <v>44000</v>
      </c>
      <c r="E22" s="13" t="s">
        <v>6</v>
      </c>
      <c r="F22" s="13" t="s">
        <v>6</v>
      </c>
      <c r="G22" s="15">
        <v>100</v>
      </c>
      <c r="H22" s="23"/>
      <c r="I22" s="15" t="s">
        <v>2</v>
      </c>
      <c r="J22" s="15"/>
      <c r="K22" s="15" t="s">
        <v>2</v>
      </c>
      <c r="L22" s="23"/>
    </row>
    <row r="23" spans="1:14" x14ac:dyDescent="0.35">
      <c r="A23" s="17" t="s">
        <v>9</v>
      </c>
      <c r="B23" s="7" t="s">
        <v>10</v>
      </c>
      <c r="C23" s="12">
        <v>94601</v>
      </c>
      <c r="D23" s="27">
        <v>43984</v>
      </c>
      <c r="E23" s="13">
        <v>0.41666666666666669</v>
      </c>
      <c r="F23" s="13">
        <v>0.5</v>
      </c>
      <c r="G23" s="15">
        <v>200</v>
      </c>
      <c r="H23" s="23"/>
      <c r="I23" s="15">
        <f>G23*6</f>
        <v>1200</v>
      </c>
      <c r="J23" s="15"/>
      <c r="K23" s="15"/>
      <c r="L23" s="23">
        <f>G23*2</f>
        <v>400</v>
      </c>
    </row>
    <row r="24" spans="1:14" ht="15" customHeight="1" x14ac:dyDescent="0.35">
      <c r="A24" s="17" t="s">
        <v>53</v>
      </c>
      <c r="B24" s="7" t="s">
        <v>54</v>
      </c>
      <c r="C24" s="12">
        <v>94806</v>
      </c>
      <c r="D24" s="28">
        <v>43990</v>
      </c>
      <c r="E24" s="8" t="s">
        <v>6</v>
      </c>
      <c r="F24" s="8" t="s">
        <v>6</v>
      </c>
      <c r="G24" s="10">
        <v>100</v>
      </c>
      <c r="H24" s="29">
        <f>G24*6</f>
        <v>600</v>
      </c>
      <c r="I24" s="10"/>
      <c r="J24" s="10"/>
      <c r="K24" s="10">
        <f>G24*4</f>
        <v>400</v>
      </c>
      <c r="L24" s="29"/>
    </row>
    <row r="25" spans="1:14" x14ac:dyDescent="0.35">
      <c r="A25" s="17" t="s">
        <v>55</v>
      </c>
      <c r="B25" s="7" t="s">
        <v>56</v>
      </c>
      <c r="C25" s="30">
        <v>94612</v>
      </c>
      <c r="D25" s="27">
        <v>43984</v>
      </c>
      <c r="E25" s="13">
        <v>0.45833333333333331</v>
      </c>
      <c r="F25" s="13">
        <v>0.54166666666666663</v>
      </c>
      <c r="G25" s="15">
        <v>175</v>
      </c>
      <c r="H25" s="23"/>
      <c r="I25" s="15">
        <f>G25*6</f>
        <v>1050</v>
      </c>
      <c r="J25" s="15"/>
      <c r="K25" s="15">
        <f>G25*2</f>
        <v>350</v>
      </c>
      <c r="L25" s="23"/>
    </row>
    <row r="26" spans="1:14" x14ac:dyDescent="0.35">
      <c r="A26" s="17" t="s">
        <v>57</v>
      </c>
      <c r="B26" s="17" t="s">
        <v>58</v>
      </c>
      <c r="C26" s="12">
        <v>94605</v>
      </c>
      <c r="D26" s="28">
        <v>43984</v>
      </c>
      <c r="E26" s="8">
        <v>0.58333333333333337</v>
      </c>
      <c r="F26" s="8">
        <v>0.66666666666666663</v>
      </c>
      <c r="G26" s="10">
        <v>150</v>
      </c>
      <c r="H26" s="29"/>
      <c r="I26" s="10">
        <f>G26*6</f>
        <v>900</v>
      </c>
      <c r="J26" s="10"/>
      <c r="K26" s="10">
        <f>G26*2</f>
        <v>300</v>
      </c>
      <c r="L26" s="29"/>
    </row>
    <row r="27" spans="1:14" x14ac:dyDescent="0.35">
      <c r="A27" s="17" t="s">
        <v>37</v>
      </c>
      <c r="B27" s="7" t="s">
        <v>38</v>
      </c>
      <c r="C27" s="12">
        <v>94608</v>
      </c>
      <c r="D27" s="27">
        <v>43983</v>
      </c>
      <c r="E27" s="13">
        <v>0.45833333333333331</v>
      </c>
      <c r="F27" s="13">
        <v>0.54166666666666663</v>
      </c>
      <c r="G27" s="15">
        <v>100</v>
      </c>
      <c r="H27" s="23">
        <f>G27*6</f>
        <v>600</v>
      </c>
      <c r="I27" s="15"/>
      <c r="J27" s="15"/>
      <c r="K27" s="15">
        <f>G27*4</f>
        <v>400</v>
      </c>
      <c r="L27" s="23"/>
    </row>
    <row r="28" spans="1:14" x14ac:dyDescent="0.35">
      <c r="A28" s="17" t="s">
        <v>23</v>
      </c>
      <c r="B28" s="17" t="s">
        <v>24</v>
      </c>
      <c r="C28" s="12">
        <v>94606</v>
      </c>
      <c r="D28" s="28">
        <v>43985</v>
      </c>
      <c r="E28" s="8">
        <v>0.45833333333333331</v>
      </c>
      <c r="F28" s="8">
        <v>0.54166666666666663</v>
      </c>
      <c r="G28" s="10">
        <v>70</v>
      </c>
      <c r="H28" s="29">
        <v>0</v>
      </c>
      <c r="I28" s="10">
        <v>0</v>
      </c>
      <c r="J28" s="10">
        <f>G28*6</f>
        <v>420</v>
      </c>
      <c r="K28" s="10">
        <v>0</v>
      </c>
      <c r="L28" s="29">
        <v>0</v>
      </c>
    </row>
    <row r="29" spans="1:14" x14ac:dyDescent="0.35">
      <c r="A29" s="17" t="s">
        <v>39</v>
      </c>
      <c r="B29" s="17" t="s">
        <v>40</v>
      </c>
      <c r="C29" s="12">
        <v>94608</v>
      </c>
      <c r="D29" s="31">
        <v>43985</v>
      </c>
      <c r="E29" s="8">
        <v>0.45833333333333331</v>
      </c>
      <c r="F29" s="8">
        <v>0.54166666666666663</v>
      </c>
      <c r="G29" s="10">
        <v>60</v>
      </c>
      <c r="H29" s="10"/>
      <c r="I29" s="10"/>
      <c r="J29" s="10">
        <f>G29*6</f>
        <v>360</v>
      </c>
      <c r="K29" s="10"/>
      <c r="L29" s="10"/>
    </row>
    <row r="30" spans="1:14" x14ac:dyDescent="0.35">
      <c r="A30" s="17" t="s">
        <v>11</v>
      </c>
      <c r="B30" s="7" t="s">
        <v>12</v>
      </c>
      <c r="C30" s="30">
        <v>94612</v>
      </c>
      <c r="D30" s="28">
        <v>43985</v>
      </c>
      <c r="E30" s="8">
        <v>0.33333333333333331</v>
      </c>
      <c r="F30" s="8">
        <v>0.95833333333333337</v>
      </c>
      <c r="G30" s="10">
        <v>150</v>
      </c>
      <c r="H30" s="29"/>
      <c r="I30" s="10"/>
      <c r="J30" s="10">
        <f>G30*6</f>
        <v>900</v>
      </c>
      <c r="K30" s="10"/>
      <c r="L30" s="29"/>
    </row>
    <row r="31" spans="1:14" x14ac:dyDescent="0.35">
      <c r="A31" s="38"/>
      <c r="B31" s="38"/>
      <c r="C31" s="39"/>
      <c r="D31" s="40"/>
      <c r="E31" s="41"/>
      <c r="F31" s="41"/>
      <c r="G31" s="41"/>
      <c r="H31" s="42">
        <v>0</v>
      </c>
      <c r="I31" s="42">
        <v>0</v>
      </c>
      <c r="J31" s="42">
        <v>0</v>
      </c>
      <c r="K31" s="42">
        <v>0</v>
      </c>
      <c r="L31" s="42">
        <f>SUM(L13:L30)</f>
        <v>400</v>
      </c>
    </row>
    <row r="32" spans="1:14" ht="15" thickBot="1" x14ac:dyDescent="0.4">
      <c r="H32" s="37">
        <f>SUM(H1:H31)</f>
        <v>8510</v>
      </c>
      <c r="I32" s="37">
        <f>SUM(I1:I31)</f>
        <v>7160</v>
      </c>
      <c r="J32" s="37">
        <f>SUM(J1:J31)</f>
        <v>5090</v>
      </c>
      <c r="K32" s="37">
        <f>SUM(K1:K31)</f>
        <v>9460</v>
      </c>
      <c r="L32" s="37">
        <f>SUM(L1:L31)</f>
        <v>1710</v>
      </c>
      <c r="N32" s="43">
        <f>H32+I32+J32+K32+L32</f>
        <v>31930</v>
      </c>
    </row>
    <row r="33" ht="15" thickTop="1" x14ac:dyDescent="0.35"/>
  </sheetData>
  <sortState xmlns:xlrd2="http://schemas.microsoft.com/office/spreadsheetml/2017/richdata2" ref="A1:L32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workbookViewId="0">
      <selection activeCell="N10" sqref="N10"/>
    </sheetView>
  </sheetViews>
  <sheetFormatPr defaultRowHeight="14.5" x14ac:dyDescent="0.35"/>
  <cols>
    <col min="1" max="1" width="34.54296875" customWidth="1"/>
    <col min="2" max="2" width="21.90625" customWidth="1"/>
    <col min="8" max="12" width="11.81640625" customWidth="1"/>
  </cols>
  <sheetData>
    <row r="1" spans="1:12" x14ac:dyDescent="0.35">
      <c r="A1" s="1" t="s">
        <v>25</v>
      </c>
      <c r="B1" s="2" t="s">
        <v>26</v>
      </c>
      <c r="C1" s="32">
        <v>94607</v>
      </c>
      <c r="D1" s="33">
        <v>43983</v>
      </c>
      <c r="E1" s="3">
        <v>0.41666666666666669</v>
      </c>
      <c r="F1" s="3">
        <v>0.54166666666666663</v>
      </c>
      <c r="G1" s="4">
        <v>300</v>
      </c>
      <c r="H1" s="34">
        <f>G1*6</f>
        <v>1800</v>
      </c>
      <c r="I1" s="4"/>
      <c r="J1" s="4"/>
      <c r="K1" s="4">
        <f>G1*4</f>
        <v>1200</v>
      </c>
      <c r="L1" s="5"/>
    </row>
    <row r="2" spans="1:12" x14ac:dyDescent="0.35">
      <c r="A2" s="6" t="s">
        <v>27</v>
      </c>
      <c r="B2" s="7" t="s">
        <v>28</v>
      </c>
      <c r="C2" s="12">
        <v>94619</v>
      </c>
      <c r="D2" s="28">
        <v>43985</v>
      </c>
      <c r="E2" s="8">
        <v>0.58333333333333337</v>
      </c>
      <c r="F2" s="8">
        <v>0.66666666666666663</v>
      </c>
      <c r="G2" s="10">
        <v>50</v>
      </c>
      <c r="H2" s="29"/>
      <c r="I2" s="10"/>
      <c r="J2" s="10">
        <f>G2*6</f>
        <v>300</v>
      </c>
      <c r="K2" s="10"/>
      <c r="L2" s="11"/>
    </row>
    <row r="3" spans="1:12" x14ac:dyDescent="0.35">
      <c r="A3" s="6" t="s">
        <v>41</v>
      </c>
      <c r="B3" s="7" t="s">
        <v>42</v>
      </c>
      <c r="C3" s="12">
        <v>94607</v>
      </c>
      <c r="D3" s="27">
        <v>43991</v>
      </c>
      <c r="E3" s="13" t="s">
        <v>6</v>
      </c>
      <c r="F3" s="13" t="s">
        <v>6</v>
      </c>
      <c r="G3" s="15">
        <v>100</v>
      </c>
      <c r="H3" s="23"/>
      <c r="I3" s="15">
        <f>G3*4</f>
        <v>400</v>
      </c>
      <c r="J3" s="15"/>
      <c r="K3" s="15">
        <f>G3*4</f>
        <v>400</v>
      </c>
      <c r="L3" s="16"/>
    </row>
    <row r="4" spans="1:12" x14ac:dyDescent="0.35">
      <c r="A4" s="6" t="s">
        <v>13</v>
      </c>
      <c r="B4" s="17" t="s">
        <v>14</v>
      </c>
      <c r="C4" s="12">
        <v>94612</v>
      </c>
      <c r="D4" s="27">
        <v>43985</v>
      </c>
      <c r="E4" s="13">
        <v>0.45833333333333331</v>
      </c>
      <c r="F4" s="13">
        <v>0.54166666666666663</v>
      </c>
      <c r="G4" s="15">
        <v>100</v>
      </c>
      <c r="H4" s="23">
        <f>G4*6</f>
        <v>600</v>
      </c>
      <c r="I4" s="15"/>
      <c r="J4" s="15"/>
      <c r="K4" s="15"/>
      <c r="L4" s="16"/>
    </row>
    <row r="5" spans="1:12" x14ac:dyDescent="0.35">
      <c r="A5" s="6" t="s">
        <v>0</v>
      </c>
      <c r="B5" s="17" t="s">
        <v>1</v>
      </c>
      <c r="C5" s="12">
        <v>94607</v>
      </c>
      <c r="D5" s="27">
        <v>43983</v>
      </c>
      <c r="E5" s="13">
        <v>0.45833333333333331</v>
      </c>
      <c r="F5" s="13">
        <v>0.54166666666666663</v>
      </c>
      <c r="G5" s="15">
        <v>200</v>
      </c>
      <c r="H5" s="23"/>
      <c r="I5" s="15">
        <f>G5*6</f>
        <v>1200</v>
      </c>
      <c r="J5" s="15"/>
      <c r="K5" s="15"/>
      <c r="L5" s="16">
        <f>G5*2</f>
        <v>400</v>
      </c>
    </row>
    <row r="6" spans="1:12" x14ac:dyDescent="0.35">
      <c r="A6" s="6" t="s">
        <v>15</v>
      </c>
      <c r="B6" s="7" t="s">
        <v>16</v>
      </c>
      <c r="C6" s="12">
        <v>94806</v>
      </c>
      <c r="D6" s="28">
        <v>43983</v>
      </c>
      <c r="E6" s="8">
        <v>0.58333333333333337</v>
      </c>
      <c r="F6" s="8">
        <v>0.66666666666666663</v>
      </c>
      <c r="G6" s="10">
        <v>200</v>
      </c>
      <c r="H6" s="29"/>
      <c r="I6" s="10">
        <f>G6*6</f>
        <v>1200</v>
      </c>
      <c r="J6" s="10"/>
      <c r="K6" s="10"/>
      <c r="L6" s="11">
        <f>G6*2</f>
        <v>400</v>
      </c>
    </row>
    <row r="7" spans="1:12" x14ac:dyDescent="0.35">
      <c r="A7" s="6" t="s">
        <v>3</v>
      </c>
      <c r="B7" s="7" t="s">
        <v>4</v>
      </c>
      <c r="C7" s="12">
        <v>94603</v>
      </c>
      <c r="D7" s="28">
        <v>43983</v>
      </c>
      <c r="E7" s="8">
        <v>0.45833333333333331</v>
      </c>
      <c r="F7" s="8">
        <v>0.54166666666666663</v>
      </c>
      <c r="G7" s="10">
        <v>400</v>
      </c>
      <c r="H7" s="29">
        <f>G7*6</f>
        <v>2400</v>
      </c>
      <c r="I7" s="10"/>
      <c r="J7" s="10"/>
      <c r="K7" s="10">
        <f>G7*4</f>
        <v>1600</v>
      </c>
      <c r="L7" s="11"/>
    </row>
    <row r="8" spans="1:12" x14ac:dyDescent="0.35">
      <c r="A8" s="6" t="s">
        <v>43</v>
      </c>
      <c r="B8" s="7" t="s">
        <v>44</v>
      </c>
      <c r="C8" s="12">
        <v>94621</v>
      </c>
      <c r="D8" s="28">
        <v>44004</v>
      </c>
      <c r="E8" s="8" t="s">
        <v>6</v>
      </c>
      <c r="F8" s="8" t="s">
        <v>6</v>
      </c>
      <c r="G8" s="10">
        <v>110</v>
      </c>
      <c r="H8" s="29">
        <f>G8*2</f>
        <v>220</v>
      </c>
      <c r="I8" s="10">
        <v>220</v>
      </c>
      <c r="J8" s="10">
        <v>220</v>
      </c>
      <c r="K8" s="10">
        <v>220</v>
      </c>
      <c r="L8" s="11">
        <v>220</v>
      </c>
    </row>
    <row r="9" spans="1:12" x14ac:dyDescent="0.35">
      <c r="A9" s="6" t="s">
        <v>45</v>
      </c>
      <c r="B9" s="17" t="s">
        <v>46</v>
      </c>
      <c r="C9" s="12">
        <v>94601</v>
      </c>
      <c r="D9" s="27">
        <v>43984</v>
      </c>
      <c r="E9" s="22">
        <v>0.58333333333333337</v>
      </c>
      <c r="F9" s="22">
        <v>0.66666666666666663</v>
      </c>
      <c r="G9" s="15">
        <v>175</v>
      </c>
      <c r="H9" s="23"/>
      <c r="I9" s="23">
        <f>G9*4</f>
        <v>700</v>
      </c>
      <c r="J9" s="23"/>
      <c r="K9" s="15">
        <f>G9*4</f>
        <v>700</v>
      </c>
      <c r="L9" s="16"/>
    </row>
    <row r="10" spans="1:12" x14ac:dyDescent="0.35">
      <c r="A10" s="6" t="s">
        <v>29</v>
      </c>
      <c r="B10" s="17" t="s">
        <v>30</v>
      </c>
      <c r="C10" s="12">
        <v>94607</v>
      </c>
      <c r="D10" s="27">
        <v>43992</v>
      </c>
      <c r="E10" s="13" t="s">
        <v>6</v>
      </c>
      <c r="F10" s="13" t="s">
        <v>6</v>
      </c>
      <c r="G10" s="15">
        <v>200</v>
      </c>
      <c r="H10" s="23"/>
      <c r="I10" s="15"/>
      <c r="J10" s="15">
        <f>G10*6</f>
        <v>1200</v>
      </c>
      <c r="K10" s="15"/>
      <c r="L10" s="14"/>
    </row>
    <row r="11" spans="1:12" x14ac:dyDescent="0.35">
      <c r="A11" s="6" t="s">
        <v>17</v>
      </c>
      <c r="B11" s="17" t="s">
        <v>18</v>
      </c>
      <c r="C11" s="12">
        <v>94607</v>
      </c>
      <c r="D11" s="27">
        <v>43991</v>
      </c>
      <c r="E11" s="13" t="s">
        <v>6</v>
      </c>
      <c r="F11" s="13" t="s">
        <v>6</v>
      </c>
      <c r="G11" s="15">
        <v>55</v>
      </c>
      <c r="H11" s="23">
        <f>G11*2</f>
        <v>110</v>
      </c>
      <c r="I11" s="23">
        <v>110</v>
      </c>
      <c r="J11" s="23">
        <v>110</v>
      </c>
      <c r="K11" s="23">
        <v>110</v>
      </c>
      <c r="L11" s="16">
        <v>110</v>
      </c>
    </row>
    <row r="12" spans="1:12" x14ac:dyDescent="0.35">
      <c r="A12" s="6" t="s">
        <v>31</v>
      </c>
      <c r="B12" s="7" t="s">
        <v>32</v>
      </c>
      <c r="C12" s="12">
        <v>94606</v>
      </c>
      <c r="D12" s="28">
        <v>43983</v>
      </c>
      <c r="E12" s="8">
        <v>0.58333333333333337</v>
      </c>
      <c r="F12" s="8">
        <v>0.66666666666666663</v>
      </c>
      <c r="G12" s="10">
        <v>75</v>
      </c>
      <c r="H12" s="29"/>
      <c r="I12" s="10"/>
      <c r="J12" s="10">
        <f>G12*6</f>
        <v>450</v>
      </c>
      <c r="K12" s="10"/>
      <c r="L12" s="11"/>
    </row>
    <row r="13" spans="1:12" x14ac:dyDescent="0.35">
      <c r="A13" s="6" t="s">
        <v>5</v>
      </c>
      <c r="B13" s="12" t="s">
        <v>6</v>
      </c>
      <c r="C13" s="12" t="s">
        <v>6</v>
      </c>
      <c r="D13" s="27">
        <v>43985</v>
      </c>
      <c r="E13" s="13" t="s">
        <v>6</v>
      </c>
      <c r="F13" s="13" t="s">
        <v>6</v>
      </c>
      <c r="G13" s="15">
        <v>150</v>
      </c>
      <c r="H13" s="23"/>
      <c r="I13" s="15"/>
      <c r="J13" s="15">
        <f>G13*6</f>
        <v>900</v>
      </c>
      <c r="K13" s="15"/>
      <c r="L13" s="16"/>
    </row>
    <row r="14" spans="1:12" x14ac:dyDescent="0.35">
      <c r="A14" s="6" t="s">
        <v>33</v>
      </c>
      <c r="B14" s="7" t="s">
        <v>34</v>
      </c>
      <c r="C14" s="30">
        <v>94603</v>
      </c>
      <c r="D14" s="27">
        <v>43983</v>
      </c>
      <c r="E14" s="13">
        <v>0.45833333333333331</v>
      </c>
      <c r="F14" s="13">
        <v>0.54166666666666663</v>
      </c>
      <c r="G14" s="15">
        <v>75</v>
      </c>
      <c r="H14" s="23"/>
      <c r="I14" s="15"/>
      <c r="J14" s="15">
        <f>G14*6</f>
        <v>450</v>
      </c>
      <c r="K14" s="15"/>
      <c r="L14" s="16"/>
    </row>
    <row r="15" spans="1:12" x14ac:dyDescent="0.35">
      <c r="A15" s="6" t="s">
        <v>19</v>
      </c>
      <c r="B15" s="7" t="s">
        <v>20</v>
      </c>
      <c r="C15" s="12">
        <v>94606</v>
      </c>
      <c r="D15" s="28">
        <v>44006</v>
      </c>
      <c r="E15" s="8" t="s">
        <v>6</v>
      </c>
      <c r="F15" s="8" t="s">
        <v>6</v>
      </c>
      <c r="G15" s="10">
        <v>150</v>
      </c>
      <c r="H15" s="29"/>
      <c r="I15" s="10"/>
      <c r="J15" s="10">
        <f>G15*6</f>
        <v>900</v>
      </c>
      <c r="K15" s="10"/>
      <c r="L15" s="11"/>
    </row>
    <row r="16" spans="1:12" x14ac:dyDescent="0.35">
      <c r="A16" s="6" t="s">
        <v>21</v>
      </c>
      <c r="B16" s="7" t="s">
        <v>22</v>
      </c>
      <c r="C16" s="12">
        <v>94621</v>
      </c>
      <c r="D16" s="27">
        <v>43983</v>
      </c>
      <c r="E16" s="13">
        <v>0.45833333333333331</v>
      </c>
      <c r="F16" s="13">
        <v>0.54166666666666663</v>
      </c>
      <c r="G16" s="15">
        <v>100</v>
      </c>
      <c r="H16" s="23">
        <f>G16*6</f>
        <v>600</v>
      </c>
      <c r="I16" s="15"/>
      <c r="J16" s="15"/>
      <c r="K16" s="15"/>
      <c r="L16" s="16"/>
    </row>
    <row r="17" spans="1:14" ht="15.65" customHeight="1" x14ac:dyDescent="0.35">
      <c r="A17" s="6" t="s">
        <v>21</v>
      </c>
      <c r="B17" s="17" t="s">
        <v>22</v>
      </c>
      <c r="C17" s="12">
        <v>94621</v>
      </c>
      <c r="D17" s="28">
        <v>43983</v>
      </c>
      <c r="E17" s="8">
        <v>0.45833333333333331</v>
      </c>
      <c r="F17" s="8">
        <v>4.1666666666666664E-2</v>
      </c>
      <c r="G17" s="10">
        <v>100</v>
      </c>
      <c r="H17" s="24"/>
      <c r="I17" s="24"/>
      <c r="J17" s="24"/>
      <c r="K17" s="10">
        <f t="shared" ref="K17:K22" si="0">G17*4</f>
        <v>400</v>
      </c>
      <c r="L17" s="25"/>
    </row>
    <row r="18" spans="1:14" x14ac:dyDescent="0.35">
      <c r="A18" s="6" t="s">
        <v>47</v>
      </c>
      <c r="B18" s="17" t="s">
        <v>48</v>
      </c>
      <c r="C18" s="12">
        <v>94621</v>
      </c>
      <c r="D18" s="27">
        <v>43990</v>
      </c>
      <c r="E18" s="13" t="s">
        <v>6</v>
      </c>
      <c r="F18" s="13" t="s">
        <v>6</v>
      </c>
      <c r="G18" s="15">
        <v>100</v>
      </c>
      <c r="H18" s="23"/>
      <c r="I18" s="15">
        <f>G18*4</f>
        <v>400</v>
      </c>
      <c r="J18" s="15"/>
      <c r="K18" s="15">
        <f t="shared" si="0"/>
        <v>400</v>
      </c>
      <c r="L18" s="16"/>
    </row>
    <row r="19" spans="1:14" x14ac:dyDescent="0.35">
      <c r="A19" s="6" t="s">
        <v>35</v>
      </c>
      <c r="B19" s="17" t="s">
        <v>36</v>
      </c>
      <c r="C19" s="12">
        <v>94608</v>
      </c>
      <c r="D19" s="28">
        <v>43990</v>
      </c>
      <c r="E19" s="8" t="s">
        <v>6</v>
      </c>
      <c r="F19" s="8" t="s">
        <v>6</v>
      </c>
      <c r="G19" s="10">
        <v>100</v>
      </c>
      <c r="H19" s="29">
        <f>G19*6</f>
        <v>600</v>
      </c>
      <c r="I19" s="10"/>
      <c r="J19" s="10"/>
      <c r="K19" s="10">
        <f t="shared" si="0"/>
        <v>400</v>
      </c>
      <c r="L19" s="11"/>
    </row>
    <row r="20" spans="1:14" x14ac:dyDescent="0.35">
      <c r="A20" s="6" t="s">
        <v>49</v>
      </c>
      <c r="B20" s="7" t="s">
        <v>50</v>
      </c>
      <c r="C20" s="12">
        <v>94607</v>
      </c>
      <c r="D20" s="28">
        <v>43991</v>
      </c>
      <c r="E20" s="8" t="s">
        <v>6</v>
      </c>
      <c r="F20" s="8" t="s">
        <v>6</v>
      </c>
      <c r="G20" s="10">
        <v>200</v>
      </c>
      <c r="H20" s="29">
        <f>G20*6</f>
        <v>1200</v>
      </c>
      <c r="I20" s="10"/>
      <c r="J20" s="10"/>
      <c r="K20" s="10">
        <f t="shared" si="0"/>
        <v>800</v>
      </c>
      <c r="L20" s="11"/>
    </row>
    <row r="21" spans="1:14" x14ac:dyDescent="0.35">
      <c r="A21" s="6" t="s">
        <v>7</v>
      </c>
      <c r="B21" s="17" t="s">
        <v>8</v>
      </c>
      <c r="C21" s="12">
        <v>94607</v>
      </c>
      <c r="D21" s="28">
        <v>43986</v>
      </c>
      <c r="E21" s="8">
        <v>0.45833333333333298</v>
      </c>
      <c r="F21" s="8">
        <v>0.54166666666666696</v>
      </c>
      <c r="G21" s="10">
        <v>500</v>
      </c>
      <c r="H21" s="29"/>
      <c r="I21" s="10"/>
      <c r="J21" s="10"/>
      <c r="K21" s="10">
        <f t="shared" si="0"/>
        <v>2000</v>
      </c>
      <c r="L21" s="11"/>
    </row>
    <row r="22" spans="1:14" x14ac:dyDescent="0.35">
      <c r="A22" s="6" t="s">
        <v>51</v>
      </c>
      <c r="B22" s="17" t="s">
        <v>52</v>
      </c>
      <c r="C22" s="12">
        <v>94603</v>
      </c>
      <c r="D22" s="27">
        <v>44000</v>
      </c>
      <c r="E22" s="13" t="s">
        <v>6</v>
      </c>
      <c r="F22" s="13" t="s">
        <v>6</v>
      </c>
      <c r="G22" s="15">
        <v>100</v>
      </c>
      <c r="H22" s="23"/>
      <c r="I22" s="15">
        <f>G22*4</f>
        <v>400</v>
      </c>
      <c r="J22" s="15"/>
      <c r="K22" s="15">
        <f t="shared" si="0"/>
        <v>400</v>
      </c>
      <c r="L22" s="16"/>
    </row>
    <row r="23" spans="1:14" x14ac:dyDescent="0.35">
      <c r="A23" s="6" t="s">
        <v>9</v>
      </c>
      <c r="B23" s="7" t="s">
        <v>10</v>
      </c>
      <c r="C23" s="12">
        <v>94601</v>
      </c>
      <c r="D23" s="27">
        <v>43984</v>
      </c>
      <c r="E23" s="13">
        <v>0.41666666666666669</v>
      </c>
      <c r="F23" s="13">
        <v>0.5</v>
      </c>
      <c r="G23" s="15">
        <v>200</v>
      </c>
      <c r="H23" s="23"/>
      <c r="I23" s="15">
        <f>G23*6</f>
        <v>1200</v>
      </c>
      <c r="J23" s="15"/>
      <c r="K23" s="15"/>
      <c r="L23" s="16">
        <f>G23*2</f>
        <v>400</v>
      </c>
    </row>
    <row r="24" spans="1:14" ht="15" customHeight="1" x14ac:dyDescent="0.35">
      <c r="A24" s="6" t="s">
        <v>53</v>
      </c>
      <c r="B24" s="7" t="s">
        <v>54</v>
      </c>
      <c r="C24" s="12">
        <v>94806</v>
      </c>
      <c r="D24" s="28">
        <v>43990</v>
      </c>
      <c r="E24" s="8" t="s">
        <v>6</v>
      </c>
      <c r="F24" s="8" t="s">
        <v>6</v>
      </c>
      <c r="G24" s="10">
        <v>100</v>
      </c>
      <c r="H24" s="29">
        <f>G24*6</f>
        <v>600</v>
      </c>
      <c r="I24" s="10"/>
      <c r="J24" s="10"/>
      <c r="K24" s="10">
        <f>G24*4</f>
        <v>400</v>
      </c>
      <c r="L24" s="11"/>
    </row>
    <row r="25" spans="1:14" x14ac:dyDescent="0.35">
      <c r="A25" s="6" t="s">
        <v>55</v>
      </c>
      <c r="B25" s="7" t="s">
        <v>56</v>
      </c>
      <c r="C25" s="30">
        <v>94612</v>
      </c>
      <c r="D25" s="27">
        <v>43984</v>
      </c>
      <c r="E25" s="13">
        <v>0.45833333333333331</v>
      </c>
      <c r="F25" s="13">
        <v>0.54166666666666663</v>
      </c>
      <c r="G25" s="15">
        <v>175</v>
      </c>
      <c r="H25" s="23"/>
      <c r="I25" s="15">
        <f>G25*6</f>
        <v>1050</v>
      </c>
      <c r="J25" s="15"/>
      <c r="K25" s="15">
        <f>G25*2</f>
        <v>350</v>
      </c>
      <c r="L25" s="16"/>
    </row>
    <row r="26" spans="1:14" x14ac:dyDescent="0.35">
      <c r="A26" s="6" t="s">
        <v>57</v>
      </c>
      <c r="B26" s="17" t="s">
        <v>58</v>
      </c>
      <c r="C26" s="12">
        <v>94605</v>
      </c>
      <c r="D26" s="28">
        <v>43984</v>
      </c>
      <c r="E26" s="8">
        <v>0.58333333333333337</v>
      </c>
      <c r="F26" s="8">
        <v>0.66666666666666663</v>
      </c>
      <c r="G26" s="10">
        <v>150</v>
      </c>
      <c r="H26" s="29"/>
      <c r="I26" s="10">
        <f>G26*6</f>
        <v>900</v>
      </c>
      <c r="J26" s="10"/>
      <c r="K26" s="10">
        <f>G26*2</f>
        <v>300</v>
      </c>
      <c r="L26" s="11"/>
    </row>
    <row r="27" spans="1:14" x14ac:dyDescent="0.35">
      <c r="A27" s="6" t="s">
        <v>37</v>
      </c>
      <c r="B27" s="7" t="s">
        <v>38</v>
      </c>
      <c r="C27" s="12">
        <v>94608</v>
      </c>
      <c r="D27" s="27">
        <v>43983</v>
      </c>
      <c r="E27" s="13">
        <v>0.45833333333333331</v>
      </c>
      <c r="F27" s="13">
        <v>0.54166666666666663</v>
      </c>
      <c r="G27" s="15">
        <v>100</v>
      </c>
      <c r="H27" s="23">
        <f>G27*6</f>
        <v>600</v>
      </c>
      <c r="I27" s="15"/>
      <c r="J27" s="15"/>
      <c r="K27" s="15">
        <f>G27*4</f>
        <v>400</v>
      </c>
      <c r="L27" s="16"/>
    </row>
    <row r="28" spans="1:14" x14ac:dyDescent="0.35">
      <c r="A28" s="6" t="s">
        <v>23</v>
      </c>
      <c r="B28" s="17" t="s">
        <v>24</v>
      </c>
      <c r="C28" s="12">
        <v>94606</v>
      </c>
      <c r="D28" s="28">
        <v>43985</v>
      </c>
      <c r="E28" s="8">
        <v>0.45833333333333331</v>
      </c>
      <c r="F28" s="8">
        <v>0.54166666666666663</v>
      </c>
      <c r="G28" s="10">
        <v>70</v>
      </c>
      <c r="H28" s="29">
        <v>0</v>
      </c>
      <c r="I28" s="10">
        <v>0</v>
      </c>
      <c r="J28" s="10">
        <f>G28*6</f>
        <v>420</v>
      </c>
      <c r="K28" s="10">
        <v>0</v>
      </c>
      <c r="L28" s="11">
        <v>0</v>
      </c>
    </row>
    <row r="29" spans="1:14" x14ac:dyDescent="0.35">
      <c r="A29" s="6" t="s">
        <v>39</v>
      </c>
      <c r="B29" s="17" t="s">
        <v>40</v>
      </c>
      <c r="C29" s="12">
        <v>94608</v>
      </c>
      <c r="D29" s="31">
        <v>43985</v>
      </c>
      <c r="E29" s="8">
        <v>0.45833333333333331</v>
      </c>
      <c r="F29" s="8">
        <v>0.54166666666666663</v>
      </c>
      <c r="G29" s="10">
        <v>60</v>
      </c>
      <c r="H29" s="10"/>
      <c r="I29" s="10"/>
      <c r="J29" s="10">
        <f>G29*6</f>
        <v>360</v>
      </c>
      <c r="K29" s="10"/>
      <c r="L29" s="9"/>
    </row>
    <row r="30" spans="1:14" ht="15" thickBot="1" x14ac:dyDescent="0.4">
      <c r="A30" s="18" t="s">
        <v>11</v>
      </c>
      <c r="B30" s="44" t="s">
        <v>12</v>
      </c>
      <c r="C30" s="45">
        <v>94612</v>
      </c>
      <c r="D30" s="35">
        <v>43985</v>
      </c>
      <c r="E30" s="19">
        <v>0.33333333333333331</v>
      </c>
      <c r="F30" s="19">
        <v>0.95833333333333337</v>
      </c>
      <c r="G30" s="20">
        <v>150</v>
      </c>
      <c r="H30" s="36"/>
      <c r="I30" s="20"/>
      <c r="J30" s="20">
        <f>G30*6</f>
        <v>900</v>
      </c>
      <c r="K30" s="20"/>
      <c r="L30" s="21"/>
    </row>
    <row r="31" spans="1:14" x14ac:dyDescent="0.35">
      <c r="A31" s="26"/>
      <c r="B31" s="26"/>
      <c r="C31" s="26"/>
      <c r="D31" s="26"/>
      <c r="E31" s="26"/>
      <c r="F31" s="26"/>
      <c r="G31" s="26"/>
      <c r="H31" s="26">
        <v>0</v>
      </c>
      <c r="I31" s="26">
        <v>0</v>
      </c>
      <c r="J31" s="26">
        <v>0</v>
      </c>
      <c r="K31" s="26">
        <v>0</v>
      </c>
      <c r="L31" s="26">
        <v>0</v>
      </c>
    </row>
    <row r="32" spans="1:14" ht="15" thickBot="1" x14ac:dyDescent="0.4">
      <c r="H32" s="37">
        <f>SUM(H1:H31)</f>
        <v>8730</v>
      </c>
      <c r="I32" s="37">
        <f>SUM(I1:I31)</f>
        <v>7780</v>
      </c>
      <c r="J32" s="37">
        <f>SUM(J1:J31)</f>
        <v>6210</v>
      </c>
      <c r="K32" s="37">
        <f>SUM(K1:K31)</f>
        <v>10080</v>
      </c>
      <c r="L32" s="37">
        <f>SUM(L1:L31)</f>
        <v>1530</v>
      </c>
      <c r="N32" s="43">
        <f>H32+I32+J32+K32+L32</f>
        <v>34330</v>
      </c>
    </row>
    <row r="33" ht="15" thickTop="1" x14ac:dyDescent="0.35"/>
  </sheetData>
  <sortState xmlns:xlrd2="http://schemas.microsoft.com/office/spreadsheetml/2017/richdata2" ref="A1:L3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1 (3)</vt:lpstr>
      <vt:lpstr>Week 1 (2)</vt:lpstr>
      <vt:lpstr>Week 1</vt:lpstr>
      <vt:lpstr>Week 2</vt:lpstr>
      <vt:lpstr>Week 3 &amp;4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ofcyuser</dc:creator>
  <cp:lastModifiedBy>Lieu, Carina</cp:lastModifiedBy>
  <dcterms:created xsi:type="dcterms:W3CDTF">2020-05-31T01:34:19Z</dcterms:created>
  <dcterms:modified xsi:type="dcterms:W3CDTF">2020-06-01T00:08:22Z</dcterms:modified>
</cp:coreProperties>
</file>